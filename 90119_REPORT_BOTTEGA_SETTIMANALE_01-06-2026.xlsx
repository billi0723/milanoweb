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NALISI ARTICOLI" r:id="rId3" sheetId="1"/>
    <sheet name="TOP-FLOP PDT SETTIMANALE" r:id="rId4" sheetId="2"/>
    <sheet name="VENDUTO FO SETTIMANALE" r:id="rId5" sheetId="3"/>
  </sheets>
</workbook>
</file>

<file path=xl/sharedStrings.xml><?xml version="1.0" encoding="utf-8"?>
<sst xmlns="http://schemas.openxmlformats.org/spreadsheetml/2006/main" count="115" uniqueCount="84">
  <si>
    <t>CODICE</t>
  </si>
  <si>
    <t>ARTICOLO</t>
  </si>
  <si>
    <t>IMPORTO</t>
  </si>
  <si>
    <t>UNITÀ VENDUTE</t>
  </si>
  <si>
    <t>% TOT</t>
  </si>
  <si>
    <t>50-004-010-000160</t>
  </si>
  <si>
    <t>Patate</t>
  </si>
  <si>
    <t>50-004-010-000110</t>
  </si>
  <si>
    <t>Pollo alla cacciatora + contorno</t>
  </si>
  <si>
    <t>50-004-010-000040</t>
  </si>
  <si>
    <t>Mezzo pollo</t>
  </si>
  <si>
    <t>50-004-010-000220</t>
  </si>
  <si>
    <t>Riso</t>
  </si>
  <si>
    <t>50-004-010-000140</t>
  </si>
  <si>
    <t>Pannocchia</t>
  </si>
  <si>
    <t>50-004-010-000320</t>
  </si>
  <si>
    <t>Alette di pollo</t>
  </si>
  <si>
    <t>50-004-010-000030</t>
  </si>
  <si>
    <t>Tagliata di pollo</t>
  </si>
  <si>
    <t>50-004-010-000490</t>
  </si>
  <si>
    <t>Brasato di Maialino</t>
  </si>
  <si>
    <t>50-004-010-000100</t>
  </si>
  <si>
    <t>Cosce di pollo</t>
  </si>
  <si>
    <t>50-004-010-000370</t>
  </si>
  <si>
    <t>BBQ</t>
  </si>
  <si>
    <t>50-004-010-000350</t>
  </si>
  <si>
    <t>Maionese</t>
  </si>
  <si>
    <t>50-004-010-000050</t>
  </si>
  <si>
    <t>Pollo intero piccolo</t>
  </si>
  <si>
    <t>50-004-010-000010</t>
  </si>
  <si>
    <t>Gran piatto per 2</t>
  </si>
  <si>
    <t>50-004-010-000120</t>
  </si>
  <si>
    <t>Caesar salad</t>
  </si>
  <si>
    <t>50-004-010-000480</t>
  </si>
  <si>
    <t>Senape</t>
  </si>
  <si>
    <t>50-004-010-000170</t>
  </si>
  <si>
    <t>Insalata mista</t>
  </si>
  <si>
    <t>50-004-010-000660</t>
  </si>
  <si>
    <t>Coscette lardellate</t>
  </si>
  <si>
    <t>50-004-010-000190</t>
  </si>
  <si>
    <t>Contorno del giorno</t>
  </si>
  <si>
    <t>50-004-010-888888</t>
  </si>
  <si>
    <t>Shopper BIO</t>
  </si>
  <si>
    <t>50-004-010-000360</t>
  </si>
  <si>
    <t>Ketchup</t>
  </si>
  <si>
    <t>50-004-010-000810</t>
  </si>
  <si>
    <t>Mezzo pollo con insalata</t>
  </si>
  <si>
    <t>TOTALE</t>
  </si>
  <si>
    <t>REPORT SETTIMANALE  5 PRODOTTI PIU' VENDUTI</t>
  </si>
  <si>
    <t>TOTALE GRUPPO</t>
  </si>
  <si>
    <t>REPORT PERIODICO 5 PRODOTTI MENO VENDUTI</t>
  </si>
  <si>
    <t>REPORT SETTIMANALE VENDUTO GIORNALIERO PER FO</t>
  </si>
  <si>
    <t>FASCIA ORARIA</t>
  </si>
  <si>
    <t>LUNEDÌ</t>
  </si>
  <si>
    <t>MARTEDÌ</t>
  </si>
  <si>
    <t>MERCOLEDÌ</t>
  </si>
  <si>
    <t>GIOVEDÌ</t>
  </si>
  <si>
    <t>VENERDÌ</t>
  </si>
  <si>
    <t>SABATO</t>
  </si>
  <si>
    <t>DOMENICA</t>
  </si>
  <si>
    <t>IMPORTO TOTALE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</si>
  <si>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</si>
  <si>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</si>
  <si>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</si>
  <si>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</si>
  <si>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</si>
  <si>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</si>
  <si>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</si>
  <si>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</si>
  <si>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</si>
  <si>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</si>
  <si>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</si>
  <si>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</si>
  <si>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</si>
  <si>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</si>
  <si>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</si>
  <si>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</si>
  <si>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</si>
  <si>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00</t>
  </si>
  <si>
    <t>01</t>
  </si>
  <si>
    <t>02</t>
  </si>
  <si>
    <t>TOTALE INCASSI (01/06/2026-07/06/2026)</t>
  </si>
  <si>
    <t>TOTALE INCASSI PERIODO PRECEDENTE (02/06/2025-08/06/2025)</t>
  </si>
  <si>
    <t>DIFFERENZA % PERIODO PRECEDENTE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</si>
</sst>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charts/chart1.xml><?xml version="1.0" encoding="utf-8"?>
<c:chartSpace xmlns:c="http://schemas.openxmlformats.org/drawingml/2006/chart" xmlns:a="http://schemas.openxmlformats.org/drawingml/2006/main">
  <c:chart>
    <c:plotArea>
      <c:layout/>
      <c:lineChart>
        <c:ser>
          <c:idx val="0"/>
          <c:order val="0"/>
          <c:tx>
            <c:strRef>
              <c:f>'VENDUTO FO SETTIMANALE'!$B$3</c:f>
              <c:strCache>
                <c:ptCount val="1"/>
                <c:pt idx="0">
                  <c:v>lunedì</c:v>
                </c:pt>
              </c:strCache>
            </c:strRef>
          </c:tx>
          <c:spPr>
            <a:ln w="25400">
              <a:solidFill>
                <a:prstClr val="violet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SETTIMANALE'!$B$4:$B$23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20.7455</c:v>
                </c:pt>
                <c:pt idx="4">
                  <c:v>140.3636</c:v>
                </c:pt>
                <c:pt idx="5">
                  <c:v>481.5455</c:v>
                </c:pt>
                <c:pt idx="6">
                  <c:v>416.4546</c:v>
                </c:pt>
                <c:pt idx="7">
                  <c:v>201.2909</c:v>
                </c:pt>
                <c:pt idx="8">
                  <c:v>268.5456</c:v>
                </c:pt>
                <c:pt idx="9">
                  <c:v>226.9273</c:v>
                </c:pt>
                <c:pt idx="10">
                  <c:v>135.8183</c:v>
                </c:pt>
                <c:pt idx="11">
                  <c:v>176.2728</c:v>
                </c:pt>
                <c:pt idx="12">
                  <c:v>390.6364</c:v>
                </c:pt>
                <c:pt idx="13">
                  <c:v>175.4546</c:v>
                </c:pt>
                <c:pt idx="14">
                  <c:v>145.3636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ser>
          <c:idx val="1"/>
          <c:order val="1"/>
          <c:tx>
            <c:strRef>
              <c:f>'VENDUTO FO SETTIMANALE'!$C$3</c:f>
              <c:strCache>
                <c:ptCount val="1"/>
                <c:pt idx="0">
                  <c:v>martedì</c:v>
                </c:pt>
              </c:strCache>
            </c:strRef>
          </c:tx>
          <c:spPr>
            <a:ln w="25400">
              <a:solidFill>
                <a:prstClr val="indigo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SETTIMANALE'!$C$4:$C$23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61.3636</c:v>
                </c:pt>
                <c:pt idx="3">
                  <c:v>83.1819</c:v>
                </c:pt>
                <c:pt idx="4">
                  <c:v>260.4547</c:v>
                </c:pt>
                <c:pt idx="5">
                  <c:v>476.5637</c:v>
                </c:pt>
                <c:pt idx="6">
                  <c:v>533.7272</c:v>
                </c:pt>
                <c:pt idx="7">
                  <c:v>554.0181</c:v>
                </c:pt>
                <c:pt idx="8">
                  <c:v>211.6546</c:v>
                </c:pt>
                <c:pt idx="9">
                  <c:v>279.8182</c:v>
                </c:pt>
                <c:pt idx="10">
                  <c:v>177.182</c:v>
                </c:pt>
                <c:pt idx="11">
                  <c:v>66.8183</c:v>
                </c:pt>
                <c:pt idx="12">
                  <c:v>386.2728</c:v>
                </c:pt>
                <c:pt idx="13">
                  <c:v>254.0909</c:v>
                </c:pt>
                <c:pt idx="14">
                  <c:v>157.2727</c:v>
                </c:pt>
                <c:pt idx="15">
                  <c:v>12.6364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ser>
          <c:idx val="2"/>
          <c:order val="2"/>
          <c:tx>
            <c:strRef>
              <c:f>'VENDUTO FO SETTIMANALE'!$D$3</c:f>
              <c:strCache>
                <c:ptCount val="1"/>
                <c:pt idx="0">
                  <c:v>mercoledì</c:v>
                </c:pt>
              </c:strCache>
            </c:strRef>
          </c:tx>
          <c:spPr>
            <a:ln w="25400">
              <a:solidFill>
                <a:prstClr val="blue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SETTIMANALE'!$D$4:$D$23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9.0</c:v>
                </c:pt>
                <c:pt idx="3">
                  <c:v>67.9092</c:v>
                </c:pt>
                <c:pt idx="4">
                  <c:v>135.0001</c:v>
                </c:pt>
                <c:pt idx="5">
                  <c:v>464.7273</c:v>
                </c:pt>
                <c:pt idx="6">
                  <c:v>256.782</c:v>
                </c:pt>
                <c:pt idx="7">
                  <c:v>207.2728</c:v>
                </c:pt>
                <c:pt idx="8">
                  <c:v>136.4547</c:v>
                </c:pt>
                <c:pt idx="9">
                  <c:v>193.0911</c:v>
                </c:pt>
                <c:pt idx="10">
                  <c:v>255.7274</c:v>
                </c:pt>
                <c:pt idx="11">
                  <c:v>294.0</c:v>
                </c:pt>
                <c:pt idx="12">
                  <c:v>260.5638</c:v>
                </c:pt>
                <c:pt idx="13">
                  <c:v>390.6455</c:v>
                </c:pt>
                <c:pt idx="14">
                  <c:v>176.9091</c:v>
                </c:pt>
                <c:pt idx="15">
                  <c:v>9.0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ser>
          <c:idx val="3"/>
          <c:order val="3"/>
          <c:tx>
            <c:strRef>
              <c:f>'VENDUTO FO SETTIMANALE'!$E$3</c:f>
              <c:strCache>
                <c:ptCount val="1"/>
                <c:pt idx="0">
                  <c:v>giovedì</c:v>
                </c:pt>
              </c:strCache>
            </c:strRef>
          </c:tx>
          <c:spPr>
            <a:ln w="25400">
              <a:solidFill>
                <a:prstClr val="green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SETTIMANALE'!$E$4:$E$23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17.1819</c:v>
                </c:pt>
                <c:pt idx="4">
                  <c:v>100.3638</c:v>
                </c:pt>
                <c:pt idx="5">
                  <c:v>313.9999</c:v>
                </c:pt>
                <c:pt idx="6">
                  <c:v>169.8183</c:v>
                </c:pt>
                <c:pt idx="7">
                  <c:v>184.4546</c:v>
                </c:pt>
                <c:pt idx="8">
                  <c:v>216.182</c:v>
                </c:pt>
                <c:pt idx="9">
                  <c:v>189.9273</c:v>
                </c:pt>
                <c:pt idx="10">
                  <c:v>118.4001</c:v>
                </c:pt>
                <c:pt idx="11">
                  <c:v>254.0909</c:v>
                </c:pt>
                <c:pt idx="12">
                  <c:v>338.2909</c:v>
                </c:pt>
                <c:pt idx="13">
                  <c:v>255.6365</c:v>
                </c:pt>
                <c:pt idx="14">
                  <c:v>102.2728</c:v>
                </c:pt>
                <c:pt idx="15">
                  <c:v>26.3818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ser>
          <c:idx val="4"/>
          <c:order val="4"/>
          <c:tx>
            <c:strRef>
              <c:f>'VENDUTO FO SETTIMANALE'!$F$3</c:f>
              <c:strCache>
                <c:ptCount val="1"/>
                <c:pt idx="0">
                  <c:v>venerdì</c:v>
                </c:pt>
              </c:strCache>
            </c:strRef>
          </c:tx>
          <c:spPr>
            <a:ln w="25400">
              <a:solidFill>
                <a:prstClr val="yellow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SETTIMANALE'!$F$4:$F$23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55.091</c:v>
                </c:pt>
                <c:pt idx="4">
                  <c:v>279.2819</c:v>
                </c:pt>
                <c:pt idx="5">
                  <c:v>341.9092</c:v>
                </c:pt>
                <c:pt idx="6">
                  <c:v>267.0</c:v>
                </c:pt>
                <c:pt idx="7">
                  <c:v>290.3638</c:v>
                </c:pt>
                <c:pt idx="8">
                  <c:v>205.5548</c:v>
                </c:pt>
                <c:pt idx="9">
                  <c:v>104.9092</c:v>
                </c:pt>
                <c:pt idx="10">
                  <c:v>95.0002</c:v>
                </c:pt>
                <c:pt idx="11">
                  <c:v>136.6546</c:v>
                </c:pt>
                <c:pt idx="12">
                  <c:v>130.3637</c:v>
                </c:pt>
                <c:pt idx="13">
                  <c:v>81.3636</c:v>
                </c:pt>
                <c:pt idx="14">
                  <c:v>313.5637</c:v>
                </c:pt>
                <c:pt idx="15">
                  <c:v>22.7273</c:v>
                </c:pt>
                <c:pt idx="16">
                  <c:v>32.5455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ser>
          <c:idx val="5"/>
          <c:order val="5"/>
          <c:tx>
            <c:strRef>
              <c:f>'VENDUTO FO SETTIMANALE'!$G$3</c:f>
              <c:strCache>
                <c:ptCount val="1"/>
                <c:pt idx="0">
                  <c:v>sabato</c:v>
                </c:pt>
              </c:strCache>
            </c:strRef>
          </c:tx>
          <c:spPr>
            <a:ln w="25400">
              <a:solidFill>
                <a:prstClr val="dkOrange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SETTIMANALE'!$G$4:$G$23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54.2001</c:v>
                </c:pt>
                <c:pt idx="4">
                  <c:v>148.2729</c:v>
                </c:pt>
                <c:pt idx="5">
                  <c:v>352.091</c:v>
                </c:pt>
                <c:pt idx="6">
                  <c:v>308.1091</c:v>
                </c:pt>
                <c:pt idx="7">
                  <c:v>307.5455</c:v>
                </c:pt>
                <c:pt idx="8">
                  <c:v>93.1092</c:v>
                </c:pt>
                <c:pt idx="9">
                  <c:v>91.3637</c:v>
                </c:pt>
                <c:pt idx="10">
                  <c:v>68.9091</c:v>
                </c:pt>
                <c:pt idx="11">
                  <c:v>51.0909</c:v>
                </c:pt>
                <c:pt idx="12">
                  <c:v>291.909</c:v>
                </c:pt>
                <c:pt idx="13">
                  <c:v>204.1817</c:v>
                </c:pt>
                <c:pt idx="14">
                  <c:v>161.6364</c:v>
                </c:pt>
                <c:pt idx="15">
                  <c:v>39.7273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ser>
          <c:idx val="6"/>
          <c:order val="6"/>
          <c:tx>
            <c:strRef>
              <c:f>'VENDUTO FO SETTIMANALE'!$H$3</c:f>
              <c:strCache>
                <c:ptCount val="1"/>
                <c:pt idx="0">
                  <c:v>domenica</c:v>
                </c:pt>
              </c:strCache>
            </c:strRef>
          </c:tx>
          <c:spPr>
            <a:ln w="25400">
              <a:solidFill>
                <a:prstClr val="dkRed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SETTIMANALE'!$H$4:$H$23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160.8182</c:v>
                </c:pt>
                <c:pt idx="4">
                  <c:v>194.3637</c:v>
                </c:pt>
                <c:pt idx="5">
                  <c:v>449.1819</c:v>
                </c:pt>
                <c:pt idx="6">
                  <c:v>396.0462</c:v>
                </c:pt>
                <c:pt idx="7">
                  <c:v>245.7455</c:v>
                </c:pt>
                <c:pt idx="8">
                  <c:v>256.2911</c:v>
                </c:pt>
                <c:pt idx="9">
                  <c:v>203.0909</c:v>
                </c:pt>
                <c:pt idx="10">
                  <c:v>104.0909</c:v>
                </c:pt>
                <c:pt idx="11">
                  <c:v>188.0001</c:v>
                </c:pt>
                <c:pt idx="12">
                  <c:v>182.5455</c:v>
                </c:pt>
                <c:pt idx="13">
                  <c:v>186.5637</c:v>
                </c:pt>
                <c:pt idx="14">
                  <c:v>28.9091</c:v>
                </c:pt>
                <c:pt idx="15">
                  <c:v>32.5455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axId val="0"/>
        <c:axId val="1"/>
      </c:lineChart>
      <c:catAx>
        <c:axId val="0"/>
        <c:scaling>
          <c:orientation val="minMax"/>
        </c:scaling>
        <c:delete val="false"/>
        <c:axPos val="b"/>
        <c:majorGridlines>
          <c:spPr>
            <a:ln w="12700">
              <a:solidFill>
                <a:prstClr val="ltGray"/>
              </a:solidFill>
            </a:ln>
          </c:spPr>
        </c:majorGridlines>
        <c:majorTickMark val="cross"/>
        <c:minorTickMark val="none"/>
        <c:tickLblPos val="nextTo"/>
        <c:spPr>
          <a:ln w="12700">
            <a:solidFill>
              <a:prstClr val="black"/>
            </a:solidFill>
          </a:ln>
        </c:spPr>
        <c:crossAx val="1"/>
        <c:crosses val="autoZero"/>
      </c:catAx>
      <c:valAx>
        <c:axId val="1"/>
        <c:scaling>
          <c:orientation val="minMax"/>
        </c:scaling>
        <c:delete val="false"/>
        <c:axPos val="l"/>
        <c:majorGridlines>
          <c:spPr>
            <a:ln w="12700">
              <a:solidFill>
                <a:prstClr val="ltGray"/>
              </a:solidFill>
            </a:ln>
          </c:spPr>
        </c:majorGridlines>
        <c:majorTickMark val="cross"/>
        <c:minorTickMark val="none"/>
        <c:tickLblPos val="nextTo"/>
        <c:spPr>
          <a:ln w="12700">
            <a:solidFill>
              <a:prstClr val="black"/>
            </a:solidFill>
          </a:ln>
        </c:spPr>
        <c:crossAx val="0"/>
        <c:crosses val="autoZero"/>
        <c:crossBetween val="midCat"/>
      </c:valAx>
    </c:plotArea>
    <c:legend>
      <c:legendPos val="b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>
  <c:chart>
    <c:plotArea>
      <c:layout/>
      <c:barChart>
        <c:barDir val="col"/>
        <c:ser>
          <c:idx val="0"/>
          <c:order val="0"/>
          <c:tx>
            <c:strRef>
              <c:f>'VENDUTO FO SETTIMANALE'!$A$4</c:f>
              <c:strCache>
                <c:ptCount val="1"/>
                <c:pt idx="0">
                  <c:v>7</c:v>
                </c:pt>
              </c:strCache>
            </c:strRef>
          </c:tx>
          <c:spPr>
            <a:solidFill>
              <a:prstClr val="saddleBrown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SETTIMANALE'!$B$4:$H$4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1"/>
          <c:order val="1"/>
          <c:tx>
            <c:strRef>
              <c:f>'VENDUTO FO SETTIMANALE'!$A$5</c:f>
              <c:strCache>
                <c:ptCount val="1"/>
                <c:pt idx="0">
                  <c:v>8</c:v>
                </c:pt>
              </c:strCache>
            </c:strRef>
          </c:tx>
          <c:spPr>
            <a:solidFill>
              <a:prstClr val="seaGreen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SETTIMANALE'!$B$5:$H$5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2"/>
          <c:order val="2"/>
          <c:tx>
            <c:strRef>
              <c:f>'VENDUTO FO SETTIMANALE'!$A$6</c:f>
              <c:strCache>
                <c:ptCount val="1"/>
                <c:pt idx="0">
                  <c:v>9</c:v>
                </c:pt>
              </c:strCache>
            </c:strRef>
          </c:tx>
          <c:spPr>
            <a:solidFill>
              <a:prstClr val="bisque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SETTIMANALE'!$B$6:$H$6</c:f>
              <c:numCache>
                <c:ptCount val="7"/>
                <c:pt idx="0">
                  <c:v>0.0</c:v>
                </c:pt>
                <c:pt idx="1">
                  <c:v>61.3636</c:v>
                </c:pt>
                <c:pt idx="2">
                  <c:v>9.0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3"/>
          <c:order val="3"/>
          <c:tx>
            <c:strRef>
              <c:f>'VENDUTO FO SETTIMANALE'!$A$7</c:f>
              <c:strCache>
                <c:ptCount val="1"/>
                <c:pt idx="0">
                  <c:v>10</c:v>
                </c:pt>
              </c:strCache>
            </c:strRef>
          </c:tx>
          <c:spPr>
            <a:solidFill>
              <a:prstClr val="medPurple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SETTIMANALE'!$B$7:$H$7</c:f>
              <c:numCache>
                <c:ptCount val="7"/>
                <c:pt idx="0">
                  <c:v>20.7455</c:v>
                </c:pt>
                <c:pt idx="1">
                  <c:v>83.1819</c:v>
                </c:pt>
                <c:pt idx="2">
                  <c:v>67.9092</c:v>
                </c:pt>
                <c:pt idx="3">
                  <c:v>17.1819</c:v>
                </c:pt>
                <c:pt idx="4">
                  <c:v>55.091</c:v>
                </c:pt>
                <c:pt idx="5">
                  <c:v>54.2001</c:v>
                </c:pt>
                <c:pt idx="6">
                  <c:v>160.8182</c:v>
                </c:pt>
              </c:numCache>
            </c:numRef>
          </c:val>
        </c:ser>
        <c:ser>
          <c:idx val="4"/>
          <c:order val="4"/>
          <c:tx>
            <c:strRef>
              <c:f>'VENDUTO FO SETTIMANALE'!$A$8</c:f>
              <c:strCache>
                <c:ptCount val="1"/>
                <c:pt idx="0">
                  <c:v>11</c:v>
                </c:pt>
              </c:strCache>
            </c:strRef>
          </c:tx>
          <c:spPr>
            <a:solidFill>
              <a:prstClr val="coral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SETTIMANALE'!$B$8:$H$8</c:f>
              <c:numCache>
                <c:ptCount val="7"/>
                <c:pt idx="0">
                  <c:v>140.3636</c:v>
                </c:pt>
                <c:pt idx="1">
                  <c:v>260.4547</c:v>
                </c:pt>
                <c:pt idx="2">
                  <c:v>135.0001</c:v>
                </c:pt>
                <c:pt idx="3">
                  <c:v>100.3638</c:v>
                </c:pt>
                <c:pt idx="4">
                  <c:v>279.2819</c:v>
                </c:pt>
                <c:pt idx="5">
                  <c:v>148.2729</c:v>
                </c:pt>
                <c:pt idx="6">
                  <c:v>194.3637</c:v>
                </c:pt>
              </c:numCache>
            </c:numRef>
          </c:val>
        </c:ser>
        <c:ser>
          <c:idx val="5"/>
          <c:order val="5"/>
          <c:tx>
            <c:strRef>
              <c:f>'VENDUTO FO SETTIMANALE'!$A$9</c:f>
              <c:strCache>
                <c:ptCount val="1"/>
                <c:pt idx="0">
                  <c:v>12</c:v>
                </c:pt>
              </c:strCache>
            </c:strRef>
          </c:tx>
          <c:spPr>
            <a:solidFill>
              <a:prstClr val="silver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SETTIMANALE'!$B$9:$H$9</c:f>
              <c:numCache>
                <c:ptCount val="7"/>
                <c:pt idx="0">
                  <c:v>481.5455</c:v>
                </c:pt>
                <c:pt idx="1">
                  <c:v>476.5637</c:v>
                </c:pt>
                <c:pt idx="2">
                  <c:v>464.7273</c:v>
                </c:pt>
                <c:pt idx="3">
                  <c:v>313.9999</c:v>
                </c:pt>
                <c:pt idx="4">
                  <c:v>341.9092</c:v>
                </c:pt>
                <c:pt idx="5">
                  <c:v>352.091</c:v>
                </c:pt>
                <c:pt idx="6">
                  <c:v>449.1819</c:v>
                </c:pt>
              </c:numCache>
            </c:numRef>
          </c:val>
        </c:ser>
        <c:ser>
          <c:idx val="6"/>
          <c:order val="6"/>
          <c:tx>
            <c:strRef>
              <c:f>'VENDUTO FO SETTIMANALE'!$A$10</c:f>
              <c:strCache>
                <c:ptCount val="1"/>
                <c:pt idx="0">
                  <c:v>13</c:v>
                </c:pt>
              </c:strCache>
            </c:strRef>
          </c:tx>
          <c:spPr>
            <a:solidFill>
              <a:prstClr val="blueViolet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SETTIMANALE'!$B$10:$H$10</c:f>
              <c:numCache>
                <c:ptCount val="7"/>
                <c:pt idx="0">
                  <c:v>416.4546</c:v>
                </c:pt>
                <c:pt idx="1">
                  <c:v>533.7272</c:v>
                </c:pt>
                <c:pt idx="2">
                  <c:v>256.782</c:v>
                </c:pt>
                <c:pt idx="3">
                  <c:v>169.8183</c:v>
                </c:pt>
                <c:pt idx="4">
                  <c:v>267.0</c:v>
                </c:pt>
                <c:pt idx="5">
                  <c:v>308.1091</c:v>
                </c:pt>
                <c:pt idx="6">
                  <c:v>396.0462</c:v>
                </c:pt>
              </c:numCache>
            </c:numRef>
          </c:val>
        </c:ser>
        <c:ser>
          <c:idx val="7"/>
          <c:order val="7"/>
          <c:tx>
            <c:strRef>
              <c:f>'VENDUTO FO SETTIMANALE'!$A$11</c:f>
              <c:strCache>
                <c:ptCount val="1"/>
                <c:pt idx="0">
                  <c:v>14</c:v>
                </c:pt>
              </c:strCache>
            </c:strRef>
          </c:tx>
          <c:spPr>
            <a:solidFill>
              <a:prstClr val="gray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SETTIMANALE'!$B$11:$H$11</c:f>
              <c:numCache>
                <c:ptCount val="7"/>
                <c:pt idx="0">
                  <c:v>201.2909</c:v>
                </c:pt>
                <c:pt idx="1">
                  <c:v>554.0181</c:v>
                </c:pt>
                <c:pt idx="2">
                  <c:v>207.2728</c:v>
                </c:pt>
                <c:pt idx="3">
                  <c:v>184.4546</c:v>
                </c:pt>
                <c:pt idx="4">
                  <c:v>290.3638</c:v>
                </c:pt>
                <c:pt idx="5">
                  <c:v>307.5455</c:v>
                </c:pt>
                <c:pt idx="6">
                  <c:v>245.7455</c:v>
                </c:pt>
              </c:numCache>
            </c:numRef>
          </c:val>
        </c:ser>
        <c:ser>
          <c:idx val="8"/>
          <c:order val="8"/>
          <c:tx>
            <c:strRef>
              <c:f>'VENDUTO FO SETTIMANALE'!$A$12</c:f>
              <c:strCache>
                <c:ptCount val="1"/>
                <c:pt idx="0">
                  <c:v>15</c:v>
                </c:pt>
              </c:strCache>
            </c:strRef>
          </c:tx>
          <c:spPr>
            <a:solidFill>
              <a:prstClr val="khaki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SETTIMANALE'!$B$12:$H$12</c:f>
              <c:numCache>
                <c:ptCount val="7"/>
                <c:pt idx="0">
                  <c:v>268.5456</c:v>
                </c:pt>
                <c:pt idx="1">
                  <c:v>211.6546</c:v>
                </c:pt>
                <c:pt idx="2">
                  <c:v>136.4547</c:v>
                </c:pt>
                <c:pt idx="3">
                  <c:v>216.182</c:v>
                </c:pt>
                <c:pt idx="4">
                  <c:v>205.5548</c:v>
                </c:pt>
                <c:pt idx="5">
                  <c:v>93.1092</c:v>
                </c:pt>
                <c:pt idx="6">
                  <c:v>256.2911</c:v>
                </c:pt>
              </c:numCache>
            </c:numRef>
          </c:val>
        </c:ser>
        <c:ser>
          <c:idx val="9"/>
          <c:order val="9"/>
          <c:tx>
            <c:strRef>
              <c:f>'VENDUTO FO SETTIMANALE'!$A$13</c:f>
              <c:strCache>
                <c:ptCount val="1"/>
                <c:pt idx="0">
                  <c:v>16</c:v>
                </c:pt>
              </c:strCache>
            </c:strRef>
          </c:tx>
          <c:spPr>
            <a:solidFill>
              <a:prstClr val="greenYellow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SETTIMANALE'!$B$13:$H$13</c:f>
              <c:numCache>
                <c:ptCount val="7"/>
                <c:pt idx="0">
                  <c:v>226.9273</c:v>
                </c:pt>
                <c:pt idx="1">
                  <c:v>279.8182</c:v>
                </c:pt>
                <c:pt idx="2">
                  <c:v>193.0911</c:v>
                </c:pt>
                <c:pt idx="3">
                  <c:v>189.9273</c:v>
                </c:pt>
                <c:pt idx="4">
                  <c:v>104.9092</c:v>
                </c:pt>
                <c:pt idx="5">
                  <c:v>91.3637</c:v>
                </c:pt>
                <c:pt idx="6">
                  <c:v>203.0909</c:v>
                </c:pt>
              </c:numCache>
            </c:numRef>
          </c:val>
        </c:ser>
        <c:ser>
          <c:idx val="10"/>
          <c:order val="10"/>
          <c:tx>
            <c:strRef>
              <c:f>'VENDUTO FO SETTIMANALE'!$A$14</c:f>
              <c:strCache>
                <c:ptCount val="1"/>
                <c:pt idx="0">
                  <c:v>17</c:v>
                </c:pt>
              </c:strCache>
            </c:strRef>
          </c:tx>
          <c:spPr>
            <a:solidFill>
              <a:prstClr val="maroon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SETTIMANALE'!$B$14:$H$14</c:f>
              <c:numCache>
                <c:ptCount val="7"/>
                <c:pt idx="0">
                  <c:v>135.8183</c:v>
                </c:pt>
                <c:pt idx="1">
                  <c:v>177.182</c:v>
                </c:pt>
                <c:pt idx="2">
                  <c:v>255.7274</c:v>
                </c:pt>
                <c:pt idx="3">
                  <c:v>118.4001</c:v>
                </c:pt>
                <c:pt idx="4">
                  <c:v>95.0002</c:v>
                </c:pt>
                <c:pt idx="5">
                  <c:v>68.9091</c:v>
                </c:pt>
                <c:pt idx="6">
                  <c:v>104.0909</c:v>
                </c:pt>
              </c:numCache>
            </c:numRef>
          </c:val>
        </c:ser>
        <c:ser>
          <c:idx val="11"/>
          <c:order val="11"/>
          <c:tx>
            <c:strRef>
              <c:f>'VENDUTO FO SETTIMANALE'!$A$15</c:f>
              <c:strCache>
                <c:ptCount val="1"/>
                <c:pt idx="0">
                  <c:v>18</c:v>
                </c:pt>
              </c:strCache>
            </c:strRef>
          </c:tx>
          <c:spPr>
            <a:solidFill>
              <a:prstClr val="tan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SETTIMANALE'!$B$15:$H$15</c:f>
              <c:numCache>
                <c:ptCount val="7"/>
                <c:pt idx="0">
                  <c:v>176.2728</c:v>
                </c:pt>
                <c:pt idx="1">
                  <c:v>66.8183</c:v>
                </c:pt>
                <c:pt idx="2">
                  <c:v>294.0</c:v>
                </c:pt>
                <c:pt idx="3">
                  <c:v>254.0909</c:v>
                </c:pt>
                <c:pt idx="4">
                  <c:v>136.6546</c:v>
                </c:pt>
                <c:pt idx="5">
                  <c:v>51.0909</c:v>
                </c:pt>
                <c:pt idx="6">
                  <c:v>188.0001</c:v>
                </c:pt>
              </c:numCache>
            </c:numRef>
          </c:val>
        </c:ser>
        <c:ser>
          <c:idx val="12"/>
          <c:order val="12"/>
          <c:tx>
            <c:strRef>
              <c:f>'VENDUTO FO SETTIMANALE'!$A$16</c:f>
              <c:strCache>
                <c:ptCount val="1"/>
                <c:pt idx="0">
                  <c:v>19</c:v>
                </c:pt>
              </c:strCache>
            </c:strRef>
          </c:tx>
          <c:spPr>
            <a:solidFill>
              <a:prstClr val="skyBlue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SETTIMANALE'!$B$16:$H$16</c:f>
              <c:numCache>
                <c:ptCount val="7"/>
                <c:pt idx="0">
                  <c:v>390.6364</c:v>
                </c:pt>
                <c:pt idx="1">
                  <c:v>386.2728</c:v>
                </c:pt>
                <c:pt idx="2">
                  <c:v>260.5638</c:v>
                </c:pt>
                <c:pt idx="3">
                  <c:v>338.2909</c:v>
                </c:pt>
                <c:pt idx="4">
                  <c:v>130.3637</c:v>
                </c:pt>
                <c:pt idx="5">
                  <c:v>291.909</c:v>
                </c:pt>
                <c:pt idx="6">
                  <c:v>182.5455</c:v>
                </c:pt>
              </c:numCache>
            </c:numRef>
          </c:val>
        </c:ser>
        <c:ser>
          <c:idx val="13"/>
          <c:order val="13"/>
          <c:tx>
            <c:strRef>
              <c:f>'VENDUTO FO SETTIMANALE'!$A$17</c:f>
              <c:strCache>
                <c:ptCount val="1"/>
                <c:pt idx="0">
                  <c:v>20</c:v>
                </c:pt>
              </c:strCache>
            </c:strRef>
          </c:tx>
          <c:spPr>
            <a:solidFill>
              <a:prstClr val="peru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SETTIMANALE'!$B$17:$H$17</c:f>
              <c:numCache>
                <c:ptCount val="7"/>
                <c:pt idx="0">
                  <c:v>175.4546</c:v>
                </c:pt>
                <c:pt idx="1">
                  <c:v>254.0909</c:v>
                </c:pt>
                <c:pt idx="2">
                  <c:v>390.6455</c:v>
                </c:pt>
                <c:pt idx="3">
                  <c:v>255.6365</c:v>
                </c:pt>
                <c:pt idx="4">
                  <c:v>81.3636</c:v>
                </c:pt>
                <c:pt idx="5">
                  <c:v>204.1817</c:v>
                </c:pt>
                <c:pt idx="6">
                  <c:v>186.5637</c:v>
                </c:pt>
              </c:numCache>
            </c:numRef>
          </c:val>
        </c:ser>
        <c:ser>
          <c:idx val="14"/>
          <c:order val="14"/>
          <c:tx>
            <c:strRef>
              <c:f>'VENDUTO FO SETTIMANALE'!$A$18</c:f>
              <c:strCache>
                <c:ptCount val="1"/>
                <c:pt idx="0">
                  <c:v>21</c:v>
                </c:pt>
              </c:strCache>
            </c:strRef>
          </c:tx>
          <c:spPr>
            <a:solidFill>
              <a:prstClr val="red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SETTIMANALE'!$B$18:$H$18</c:f>
              <c:numCache>
                <c:ptCount val="7"/>
                <c:pt idx="0">
                  <c:v>145.3636</c:v>
                </c:pt>
                <c:pt idx="1">
                  <c:v>157.2727</c:v>
                </c:pt>
                <c:pt idx="2">
                  <c:v>176.9091</c:v>
                </c:pt>
                <c:pt idx="3">
                  <c:v>102.2728</c:v>
                </c:pt>
                <c:pt idx="4">
                  <c:v>313.5637</c:v>
                </c:pt>
                <c:pt idx="5">
                  <c:v>161.6364</c:v>
                </c:pt>
                <c:pt idx="6">
                  <c:v>28.9091</c:v>
                </c:pt>
              </c:numCache>
            </c:numRef>
          </c:val>
        </c:ser>
        <c:ser>
          <c:idx val="15"/>
          <c:order val="15"/>
          <c:tx>
            <c:strRef>
              <c:f>'VENDUTO FO SETTIMANALE'!$A$19</c:f>
              <c:strCache>
                <c:ptCount val="1"/>
                <c:pt idx="0">
                  <c:v>22</c:v>
                </c:pt>
              </c:strCache>
            </c:strRef>
          </c:tx>
          <c:spPr>
            <a:solidFill>
              <a:prstClr val="magenta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SETTIMANALE'!$B$19:$H$19</c:f>
              <c:numCache>
                <c:ptCount val="7"/>
                <c:pt idx="0">
                  <c:v>0.0</c:v>
                </c:pt>
                <c:pt idx="1">
                  <c:v>12.6364</c:v>
                </c:pt>
                <c:pt idx="2">
                  <c:v>9.0</c:v>
                </c:pt>
                <c:pt idx="3">
                  <c:v>26.3818</c:v>
                </c:pt>
                <c:pt idx="4">
                  <c:v>22.7273</c:v>
                </c:pt>
                <c:pt idx="5">
                  <c:v>39.7273</c:v>
                </c:pt>
                <c:pt idx="6">
                  <c:v>32.5455</c:v>
                </c:pt>
              </c:numCache>
            </c:numRef>
          </c:val>
        </c:ser>
        <c:ser>
          <c:idx val="16"/>
          <c:order val="16"/>
          <c:tx>
            <c:strRef>
              <c:f>'VENDUTO FO SETTIMANALE'!$A$20</c:f>
              <c:strCache>
                <c:ptCount val="1"/>
                <c:pt idx="0">
                  <c:v>23</c:v>
                </c:pt>
              </c:strCache>
            </c:strRef>
          </c:tx>
          <c:spPr>
            <a:solidFill>
              <a:prstClr val="yellow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SETTIMANALE'!$B$20:$H$20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32.5455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17"/>
          <c:order val="17"/>
          <c:tx>
            <c:strRef>
              <c:f>'VENDUTO FO SETTIMANALE'!$A$21</c:f>
              <c:strCache>
                <c:ptCount val="1"/>
                <c:pt idx="0">
                  <c:v>00</c:v>
                </c:pt>
              </c:strCache>
            </c:strRef>
          </c:tx>
          <c:spPr>
            <a:solidFill>
              <a:prstClr val="slateBlue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SETTIMANALE'!$B$21:$H$21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18"/>
          <c:order val="18"/>
          <c:tx>
            <c:strRef>
              <c:f>'VENDUTO FO SETTIMANALE'!$A$22</c:f>
              <c:strCache>
                <c:ptCount val="1"/>
                <c:pt idx="0">
                  <c:v>01</c:v>
                </c:pt>
              </c:strCache>
            </c:strRef>
          </c:tx>
          <c:spPr>
            <a:solidFill>
              <a:prstClr val="dkCyan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SETTIMANALE'!$B$22:$H$22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19"/>
          <c:order val="19"/>
          <c:tx>
            <c:strRef>
              <c:f>'VENDUTO FO SETTIMANALE'!$A$23</c:f>
              <c:strCache>
                <c:ptCount val="1"/>
                <c:pt idx="0">
                  <c:v>02</c:v>
                </c:pt>
              </c:strCache>
            </c:strRef>
          </c:tx>
          <c:spPr>
            <a:solidFill>
              <a:prstClr val="paleTurquoise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SETTIMANALE'!$B$23:$H$23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axId val="0"/>
        <c:axId val="1"/>
      </c:barChart>
      <c:catAx>
        <c:axId val="0"/>
        <c:scaling>
          <c:orientation val="minMax"/>
        </c:scaling>
        <c:delete val="false"/>
        <c:axPos val="b"/>
        <c:majorGridlines>
          <c:spPr>
            <a:ln w="12700">
              <a:solidFill>
                <a:prstClr val="ltGray"/>
              </a:solidFill>
            </a:ln>
          </c:spPr>
        </c:majorGridlines>
        <c:majorTickMark val="cross"/>
        <c:minorTickMark val="none"/>
        <c:tickLblPos val="nextTo"/>
        <c:spPr>
          <a:ln w="12700">
            <a:solidFill>
              <a:prstClr val="black"/>
            </a:solidFill>
          </a:ln>
        </c:spPr>
        <c:crossAx val="1"/>
        <c:crosses val="autoZero"/>
      </c:catAx>
      <c:valAx>
        <c:axId val="1"/>
        <c:scaling>
          <c:orientation val="minMax"/>
        </c:scaling>
        <c:delete val="false"/>
        <c:axPos val="l"/>
        <c:majorGridlines>
          <c:spPr>
            <a:ln w="12700">
              <a:solidFill>
                <a:prstClr val="ltGray"/>
              </a:solidFill>
            </a:ln>
          </c:spPr>
        </c:majorGridlines>
        <c:majorTickMark val="cross"/>
        <c:minorTickMark val="none"/>
        <c:tickLblPos val="nextTo"/>
        <c:spPr>
          <a:ln w="12700">
            <a:solidFill>
              <a:prstClr val="black"/>
            </a:solidFill>
          </a:ln>
        </c:spPr>
        <c:crossAx val="0"/>
        <c:crosses val="autoZero"/>
        <c:crossBetween val="between"/>
      </c:valAx>
    </c:plotArea>
    <c:legend>
      <c:legendPos val="b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0</xdr:col>
      <xdr:colOff>0</xdr:colOff>
      <xdr:row>30</xdr:row>
      <xdr:rowOff>0</xdr:rowOff>
    </xdr:from>
    <xdr:to>
      <xdr:col>10</xdr:col>
      <xdr:colOff>0</xdr:colOff>
      <xdr:row>45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5334000" cy="2857500"/>
      </xdr:xfrm>
      <a:graphic>
        <a:graphicData uri="http://schemas.openxmlformats.org/drawingml/2006/chart">
          <c:chart r:id="rId1"/>
        </a:graphicData>
      </a:graphic>
    </xdr:graphicFrame>
    <xdr:clientData/>
  </xdr:twoCellAnchor>
  <xdr:twoCellAnchor editAs="twoCell">
    <xdr:from>
      <xdr:col>0</xdr:col>
      <xdr:colOff>0</xdr:colOff>
      <xdr:row>50</xdr:row>
      <xdr:rowOff>0</xdr:rowOff>
    </xdr:from>
    <xdr:to>
      <xdr:col>10</xdr:col>
      <xdr:colOff>0</xdr:colOff>
      <xdr:row>65</xdr:row>
      <xdr:rowOff>0</xdr:rowOff>
    </xdr:to>
    <xdr:graphicFrame>
      <xdr:nvGraphicFramePr>
        <xdr:cNvPr id="1" name="Diagramm1"/>
        <xdr:cNvGraphicFramePr/>
      </xdr:nvGraphicFramePr>
      <xdr:xfrm>
        <a:off x="0" y="0"/>
        <a:ext cx="5334000" cy="2857500"/>
      </xdr:xfrm>
      <a:graphic>
        <a:graphicData uri="http://schemas.openxmlformats.org/drawingml/2006/chart">
          <c:chart r:id="rId2"/>
        </a:graphicData>
      </a:graphic>
    </xdr:graphicFrame>
    <xdr:clientData/>
  </xdr:twoCellAnchor>
</xdr:wsDr>
</file>

<file path=xl/worksheets/_rels/sheet3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>
  <dimension ref="A1:E23"/>
  <sheetViews>
    <sheetView workbookViewId="0" tabSelected="true"/>
  </sheetViews>
  <sheetFormatPr defaultRowHeight="15.0"/>
  <cols>
    <col min="1" max="1" width="19.359375" customWidth="true" bestFit="true"/>
    <col min="2" max="2" width="30.2109375" customWidth="true" bestFit="true"/>
    <col min="3" max="3" width="13.363281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s" s="4">
        <v>5</v>
      </c>
      <c r="B2" t="s" s="4">
        <v>6</v>
      </c>
      <c r="C2" t="n" s="7">
        <v>1379.092</v>
      </c>
      <c r="D2" t="n" s="7">
        <v>304.0</v>
      </c>
      <c r="E2" t="n" s="7">
        <v>7.42</v>
      </c>
    </row>
    <row r="3">
      <c r="A3" t="s" s="2">
        <v>7</v>
      </c>
      <c r="B3" t="s" s="2">
        <v>8</v>
      </c>
      <c r="C3" t="n" s="5">
        <v>3165.3914</v>
      </c>
      <c r="D3" t="n" s="5">
        <v>251.0</v>
      </c>
      <c r="E3" t="n" s="5">
        <v>17.02</v>
      </c>
    </row>
    <row r="4">
      <c r="A4" t="s" s="4">
        <v>9</v>
      </c>
      <c r="B4" t="s" s="4">
        <v>10</v>
      </c>
      <c r="C4" t="n" s="7">
        <v>1701.0</v>
      </c>
      <c r="D4" t="n" s="7">
        <v>189.0</v>
      </c>
      <c r="E4" t="n" s="7">
        <v>9.15</v>
      </c>
    </row>
    <row r="5">
      <c r="A5" t="s" s="2">
        <v>11</v>
      </c>
      <c r="B5" t="s" s="2">
        <v>12</v>
      </c>
      <c r="C5" t="n" s="5">
        <v>1013.999</v>
      </c>
      <c r="D5" t="n" s="5">
        <v>187.0</v>
      </c>
      <c r="E5" t="n" s="5">
        <v>5.45</v>
      </c>
    </row>
    <row r="6">
      <c r="A6" t="s" s="4">
        <v>13</v>
      </c>
      <c r="B6" t="s" s="4">
        <v>14</v>
      </c>
      <c r="C6" t="n" s="7">
        <v>827.2737</v>
      </c>
      <c r="D6" t="n" s="7">
        <v>182.0</v>
      </c>
      <c r="E6" t="n" s="7">
        <v>4.45</v>
      </c>
    </row>
    <row r="7">
      <c r="A7" t="s" s="2">
        <v>15</v>
      </c>
      <c r="B7" t="s" s="2">
        <v>16</v>
      </c>
      <c r="C7" t="n" s="5">
        <v>1551.6</v>
      </c>
      <c r="D7" t="n" s="5">
        <v>174.0</v>
      </c>
      <c r="E7" t="n" s="5">
        <v>8.34</v>
      </c>
    </row>
    <row r="8">
      <c r="A8" t="s" s="4">
        <v>17</v>
      </c>
      <c r="B8" t="s" s="4">
        <v>18</v>
      </c>
      <c r="C8" t="n" s="7">
        <v>1999.0551</v>
      </c>
      <c r="D8" t="n" s="7">
        <v>159.0</v>
      </c>
      <c r="E8" t="n" s="7">
        <v>10.75</v>
      </c>
    </row>
    <row r="9">
      <c r="A9" t="s" s="2">
        <v>19</v>
      </c>
      <c r="B9" t="s" s="2">
        <v>20</v>
      </c>
      <c r="C9" t="n" s="5">
        <v>2439.2819</v>
      </c>
      <c r="D9" t="n" s="5">
        <v>150.0</v>
      </c>
      <c r="E9" t="n" s="5">
        <v>13.12</v>
      </c>
    </row>
    <row r="10">
      <c r="A10" t="s" s="4">
        <v>21</v>
      </c>
      <c r="B10" t="s" s="4">
        <v>22</v>
      </c>
      <c r="C10" t="n" s="7">
        <v>1296.0</v>
      </c>
      <c r="D10" t="n" s="7">
        <v>146.0</v>
      </c>
      <c r="E10" t="n" s="7">
        <v>6.97</v>
      </c>
    </row>
    <row r="11">
      <c r="A11" t="s" s="2">
        <v>23</v>
      </c>
      <c r="B11" t="s" s="2">
        <v>24</v>
      </c>
      <c r="C11" t="n" s="5">
        <v>7.5999</v>
      </c>
      <c r="D11" t="n" s="5">
        <v>84.0</v>
      </c>
      <c r="E11" t="n" s="5">
        <v>0.04</v>
      </c>
    </row>
    <row r="12">
      <c r="A12" t="s" s="4">
        <v>25</v>
      </c>
      <c r="B12" t="s" s="4">
        <v>26</v>
      </c>
      <c r="C12" t="n" s="7">
        <v>7.1817</v>
      </c>
      <c r="D12" t="n" s="7">
        <v>84.0</v>
      </c>
      <c r="E12" t="n" s="7">
        <v>0.04</v>
      </c>
    </row>
    <row r="13">
      <c r="A13" t="s" s="2">
        <v>27</v>
      </c>
      <c r="B13" t="s" s="2">
        <v>28</v>
      </c>
      <c r="C13" t="n" s="5">
        <v>1003.6376</v>
      </c>
      <c r="D13" t="n" s="5">
        <v>69.0</v>
      </c>
      <c r="E13" t="n" s="5">
        <v>5.4</v>
      </c>
    </row>
    <row r="14">
      <c r="A14" t="s" s="4">
        <v>29</v>
      </c>
      <c r="B14" t="s" s="4">
        <v>30</v>
      </c>
      <c r="C14" t="n" s="7">
        <v>1489.0918</v>
      </c>
      <c r="D14" t="n" s="7">
        <v>63.0</v>
      </c>
      <c r="E14" t="n" s="7">
        <v>8.01</v>
      </c>
    </row>
    <row r="15">
      <c r="A15" t="s" s="2">
        <v>31</v>
      </c>
      <c r="B15" t="s" s="2">
        <v>32</v>
      </c>
      <c r="C15" t="n" s="5">
        <v>491.9096</v>
      </c>
      <c r="D15" t="n" s="5">
        <v>39.0</v>
      </c>
      <c r="E15" t="n" s="5">
        <v>2.65</v>
      </c>
    </row>
    <row r="16">
      <c r="A16" t="s" s="4">
        <v>33</v>
      </c>
      <c r="B16" t="s" s="4">
        <v>34</v>
      </c>
      <c r="C16" t="n" s="7">
        <v>2.3454</v>
      </c>
      <c r="D16" t="n" s="7">
        <v>26.0</v>
      </c>
      <c r="E16" t="n" s="7">
        <v>0.01</v>
      </c>
    </row>
    <row r="17">
      <c r="A17" t="s" s="2">
        <v>35</v>
      </c>
      <c r="B17" t="s" s="2">
        <v>36</v>
      </c>
      <c r="C17" t="n" s="5">
        <v>59.0913</v>
      </c>
      <c r="D17" t="n" s="5">
        <v>13.0</v>
      </c>
      <c r="E17" t="n" s="5">
        <v>0.32</v>
      </c>
    </row>
    <row r="18">
      <c r="A18" t="s" s="4">
        <v>37</v>
      </c>
      <c r="B18" t="s" s="4">
        <v>38</v>
      </c>
      <c r="C18" t="n" s="7">
        <v>118.9092</v>
      </c>
      <c r="D18" t="n" s="7">
        <v>12.0</v>
      </c>
      <c r="E18" t="n" s="7">
        <v>0.64</v>
      </c>
    </row>
    <row r="19">
      <c r="A19" t="s" s="2">
        <v>39</v>
      </c>
      <c r="B19" t="s" s="2">
        <v>40</v>
      </c>
      <c r="C19" t="n" s="5">
        <v>33.4547</v>
      </c>
      <c r="D19" t="n" s="5">
        <v>11.0</v>
      </c>
      <c r="E19" t="n" s="5">
        <v>0.18</v>
      </c>
    </row>
    <row r="20">
      <c r="A20" t="s" s="4">
        <v>41</v>
      </c>
      <c r="B20" t="s" s="4">
        <v>42</v>
      </c>
      <c r="C20" t="n" s="7">
        <v>0.4918</v>
      </c>
      <c r="D20" t="n" s="7">
        <v>6.0</v>
      </c>
      <c r="E20" t="n" s="7">
        <v>0.0</v>
      </c>
    </row>
    <row r="21">
      <c r="A21" t="s" s="2">
        <v>43</v>
      </c>
      <c r="B21" t="s" s="2">
        <v>44</v>
      </c>
      <c r="C21" t="n" s="5">
        <v>0.1818</v>
      </c>
      <c r="D21" t="n" s="5">
        <v>2.0</v>
      </c>
      <c r="E21" t="n" s="5">
        <v>0.0</v>
      </c>
    </row>
    <row r="22">
      <c r="A22" t="s" s="4">
        <v>45</v>
      </c>
      <c r="B22" t="s" s="4">
        <v>46</v>
      </c>
      <c r="C22" t="n" s="7">
        <v>8.6364</v>
      </c>
      <c r="D22" t="n" s="7">
        <v>1.0</v>
      </c>
      <c r="E22" t="n" s="7">
        <v>0.05</v>
      </c>
    </row>
    <row r="23">
      <c r="A23" t="s" s="1">
        <v>47</v>
      </c>
      <c r="B23" s="2"/>
      <c r="C23" t="n" s="1">
        <v>18595.2243</v>
      </c>
      <c r="D23" t="n" s="1">
        <v>2152.0</v>
      </c>
      <c r="E23" t="n" s="1">
        <v>100.0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9"/>
  <sheetViews>
    <sheetView workbookViewId="0"/>
  </sheetViews>
  <sheetFormatPr defaultRowHeight="15.0"/>
  <cols>
    <col min="1" max="1" width="19.359375" customWidth="true" bestFit="true"/>
  </cols>
  <sheetData>
    <row r="1">
      <c r="A1" t="s" s="1">
        <v>48</v>
      </c>
    </row>
    <row r="2">
      <c r="A2" t="s" s="1">
        <v>0</v>
      </c>
      <c r="B2" t="s" s="1">
        <v>1</v>
      </c>
      <c r="C2" t="s" s="1">
        <v>2</v>
      </c>
      <c r="D2" t="s" s="1">
        <v>3</v>
      </c>
      <c r="E2" t="s" s="1">
        <v>4</v>
      </c>
    </row>
    <row r="3">
      <c r="A3" t="s" s="2">
        <v>5</v>
      </c>
      <c r="B3" t="s" s="2">
        <v>6</v>
      </c>
      <c r="C3" t="n" s="5">
        <v>1379.092</v>
      </c>
      <c r="D3" t="n" s="5">
        <v>304.0</v>
      </c>
      <c r="E3" t="n" s="5">
        <v>7.42</v>
      </c>
    </row>
    <row r="4">
      <c r="A4" t="s" s="4">
        <v>7</v>
      </c>
      <c r="B4" t="s" s="4">
        <v>8</v>
      </c>
      <c r="C4" t="n" s="7">
        <v>3165.3914</v>
      </c>
      <c r="D4" t="n" s="7">
        <v>251.0</v>
      </c>
      <c r="E4" t="n" s="7">
        <v>17.02</v>
      </c>
    </row>
    <row r="5">
      <c r="A5" t="s" s="2">
        <v>9</v>
      </c>
      <c r="B5" t="s" s="2">
        <v>10</v>
      </c>
      <c r="C5" t="n" s="5">
        <v>1701.0</v>
      </c>
      <c r="D5" t="n" s="5">
        <v>189.0</v>
      </c>
      <c r="E5" t="n" s="5">
        <v>9.15</v>
      </c>
    </row>
    <row r="6">
      <c r="A6" t="s" s="4">
        <v>11</v>
      </c>
      <c r="B6" t="s" s="4">
        <v>12</v>
      </c>
      <c r="C6" t="n" s="7">
        <v>1013.999</v>
      </c>
      <c r="D6" t="n" s="7">
        <v>187.0</v>
      </c>
      <c r="E6" t="n" s="7">
        <v>5.45</v>
      </c>
    </row>
    <row r="7">
      <c r="A7" t="s" s="2">
        <v>13</v>
      </c>
      <c r="B7" t="s" s="2">
        <v>14</v>
      </c>
      <c r="C7" t="n" s="5">
        <v>827.2737</v>
      </c>
      <c r="D7" t="n" s="5">
        <v>182.0</v>
      </c>
      <c r="E7" t="n" s="5">
        <v>4.45</v>
      </c>
    </row>
    <row r="8">
      <c r="A8" t="s" s="1">
        <v>49</v>
      </c>
      <c r="B8" s="4"/>
      <c r="C8" t="n" s="1">
        <v>8086.7561</v>
      </c>
      <c r="D8" t="n" s="1">
        <v>1113.0</v>
      </c>
      <c r="E8" t="n" s="1">
        <v>43.49</v>
      </c>
    </row>
    <row r="9"/>
    <row r="10"/>
    <row r="11"/>
    <row r="12">
      <c r="A12" t="s" s="1">
        <v>50</v>
      </c>
    </row>
    <row r="13">
      <c r="A13" t="s" s="1">
        <v>0</v>
      </c>
      <c r="B13" t="s" s="1">
        <v>1</v>
      </c>
      <c r="C13" t="s" s="1">
        <v>2</v>
      </c>
      <c r="D13" t="s" s="1">
        <v>3</v>
      </c>
      <c r="E13" t="s" s="1">
        <v>4</v>
      </c>
    </row>
    <row r="14">
      <c r="A14" t="s" s="4">
        <v>45</v>
      </c>
      <c r="B14" t="s" s="4">
        <v>46</v>
      </c>
      <c r="C14" t="n" s="7">
        <v>8.6364</v>
      </c>
      <c r="D14" t="n" s="7">
        <v>1.0</v>
      </c>
      <c r="E14" t="n" s="7">
        <v>0.05</v>
      </c>
    </row>
    <row r="15">
      <c r="A15" t="s" s="2">
        <v>43</v>
      </c>
      <c r="B15" t="s" s="2">
        <v>44</v>
      </c>
      <c r="C15" t="n" s="5">
        <v>0.1818</v>
      </c>
      <c r="D15" t="n" s="5">
        <v>2.0</v>
      </c>
      <c r="E15" t="n" s="5">
        <v>0.0</v>
      </c>
    </row>
    <row r="16">
      <c r="A16" t="s" s="4">
        <v>41</v>
      </c>
      <c r="B16" t="s" s="4">
        <v>42</v>
      </c>
      <c r="C16" t="n" s="7">
        <v>0.4918</v>
      </c>
      <c r="D16" t="n" s="7">
        <v>6.0</v>
      </c>
      <c r="E16" t="n" s="7">
        <v>0.0</v>
      </c>
    </row>
    <row r="17">
      <c r="A17" t="s" s="2">
        <v>39</v>
      </c>
      <c r="B17" t="s" s="2">
        <v>40</v>
      </c>
      <c r="C17" t="n" s="5">
        <v>33.4547</v>
      </c>
      <c r="D17" t="n" s="5">
        <v>11.0</v>
      </c>
      <c r="E17" t="n" s="5">
        <v>0.18</v>
      </c>
    </row>
    <row r="18">
      <c r="A18" t="s" s="4">
        <v>37</v>
      </c>
      <c r="B18" t="s" s="4">
        <v>38</v>
      </c>
      <c r="C18" t="n" s="7">
        <v>118.9092</v>
      </c>
      <c r="D18" t="n" s="7">
        <v>12.0</v>
      </c>
      <c r="E18" t="n" s="7">
        <v>0.64</v>
      </c>
    </row>
    <row r="19">
      <c r="A19" t="s" s="1">
        <v>49</v>
      </c>
      <c r="B19" s="2"/>
      <c r="C19" t="n" s="1">
        <v>161.6739</v>
      </c>
      <c r="D19" t="n" s="1">
        <v>32.0</v>
      </c>
      <c r="E19" t="n" s="1">
        <v>0.87</v>
      </c>
    </row>
  </sheetData>
  <mergeCells count="2">
    <mergeCell ref="A1:E1"/>
    <mergeCell ref="A12:E12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 xmlns:r="http://schemas.openxmlformats.org/officeDocument/2006/relationships">
  <dimension ref="A1:I26"/>
  <sheetViews>
    <sheetView workbookViewId="0"/>
  </sheetViews>
  <sheetFormatPr defaultRowHeight="15.0"/>
  <cols>
    <col min="1" max="1" width="68.21484375" customWidth="true" bestFit="true"/>
  </cols>
  <sheetData>
    <row r="1">
      <c r="A1" t="s" s="1">
        <v>51</v>
      </c>
    </row>
    <row r="2"/>
    <row r="3">
      <c r="A3" t="s" s="1">
        <v>52</v>
      </c>
      <c r="B3" t="s" s="1">
        <v>53</v>
      </c>
      <c r="C3" t="s" s="1">
        <v>54</v>
      </c>
      <c r="D3" t="s" s="1">
        <v>55</v>
      </c>
      <c r="E3" t="s" s="1">
        <v>56</v>
      </c>
      <c r="F3" t="s" s="1">
        <v>57</v>
      </c>
      <c r="G3" t="s" s="1">
        <v>58</v>
      </c>
      <c r="H3" t="s" s="1">
        <v>59</v>
      </c>
      <c r="I3" t="s" s="1">
        <v>60</v>
      </c>
    </row>
    <row r="4">
      <c r="A4" t="s" s="4">
        <v>61</v>
      </c>
      <c r="B4" t="n" s="7">
        <v>0.0</v>
      </c>
      <c r="C4" t="n" s="7">
        <v>0.0</v>
      </c>
      <c r="D4" t="n" s="7">
        <v>0.0</v>
      </c>
      <c r="E4" t="n" s="7">
        <v>0.0</v>
      </c>
      <c r="F4" t="n" s="7">
        <v>0.0</v>
      </c>
      <c r="G4" t="n" s="7">
        <v>0.0</v>
      </c>
      <c r="H4" t="n" s="7">
        <v>0.0</v>
      </c>
      <c r="I4" s="7" t="n">
        <f>SUM(B4:H4)</f>
        <v>0.0</v>
      </c>
    </row>
    <row r="5">
      <c r="A5" t="s" s="2">
        <v>62</v>
      </c>
      <c r="B5" t="n" s="5">
        <v>0.0</v>
      </c>
      <c r="C5" t="n" s="5">
        <v>0.0</v>
      </c>
      <c r="D5" t="n" s="5">
        <v>0.0</v>
      </c>
      <c r="E5" t="n" s="5">
        <v>0.0</v>
      </c>
      <c r="F5" t="n" s="5">
        <v>0.0</v>
      </c>
      <c r="G5" t="n" s="5">
        <v>0.0</v>
      </c>
      <c r="H5" t="n" s="5">
        <v>0.0</v>
      </c>
      <c r="I5" s="5" t="n">
        <f>SUM(B5:H5)</f>
        <v>0.0</v>
      </c>
    </row>
    <row r="6">
      <c r="A6" t="s" s="4">
        <v>63</v>
      </c>
      <c r="B6" t="n" s="7">
        <v>0.0</v>
      </c>
      <c r="C6" t="n" s="7">
        <v>61.3636</v>
      </c>
      <c r="D6" t="n" s="7">
        <v>9.0</v>
      </c>
      <c r="E6" t="n" s="7">
        <v>0.0</v>
      </c>
      <c r="F6" t="n" s="7">
        <v>0.0</v>
      </c>
      <c r="G6" t="n" s="7">
        <v>0.0</v>
      </c>
      <c r="H6" t="n" s="7">
        <v>0.0</v>
      </c>
      <c r="I6" s="7" t="n">
        <f>SUM(B6:H6)</f>
        <v>0.0</v>
      </c>
    </row>
    <row r="7">
      <c r="A7" t="s" s="2">
        <v>64</v>
      </c>
      <c r="B7" t="n" s="5">
        <v>20.7455</v>
      </c>
      <c r="C7" t="n" s="5">
        <v>83.1819</v>
      </c>
      <c r="D7" t="n" s="5">
        <v>67.9092</v>
      </c>
      <c r="E7" t="n" s="5">
        <v>17.1819</v>
      </c>
      <c r="F7" t="n" s="5">
        <v>55.091</v>
      </c>
      <c r="G7" t="n" s="5">
        <v>54.2001</v>
      </c>
      <c r="H7" t="n" s="5">
        <v>160.8182</v>
      </c>
      <c r="I7" s="5" t="n">
        <f>SUM(B7:H7)</f>
        <v>0.0</v>
      </c>
    </row>
    <row r="8">
      <c r="A8" t="s" s="4">
        <v>65</v>
      </c>
      <c r="B8" t="n" s="7">
        <v>140.3636</v>
      </c>
      <c r="C8" t="n" s="7">
        <v>260.4547</v>
      </c>
      <c r="D8" t="n" s="7">
        <v>135.0001</v>
      </c>
      <c r="E8" t="n" s="7">
        <v>100.3638</v>
      </c>
      <c r="F8" t="n" s="7">
        <v>279.2819</v>
      </c>
      <c r="G8" t="n" s="7">
        <v>148.2729</v>
      </c>
      <c r="H8" t="n" s="7">
        <v>194.3637</v>
      </c>
      <c r="I8" s="7" t="n">
        <f>SUM(B8:H8)</f>
        <v>0.0</v>
      </c>
    </row>
    <row r="9">
      <c r="A9" t="s" s="2">
        <v>66</v>
      </c>
      <c r="B9" t="n" s="5">
        <v>481.5455</v>
      </c>
      <c r="C9" t="n" s="5">
        <v>476.5637</v>
      </c>
      <c r="D9" t="n" s="5">
        <v>464.7273</v>
      </c>
      <c r="E9" t="n" s="5">
        <v>313.9999</v>
      </c>
      <c r="F9" t="n" s="5">
        <v>341.9092</v>
      </c>
      <c r="G9" t="n" s="5">
        <v>352.091</v>
      </c>
      <c r="H9" t="n" s="5">
        <v>449.1819</v>
      </c>
      <c r="I9" s="5" t="n">
        <f>SUM(B9:H9)</f>
        <v>0.0</v>
      </c>
    </row>
    <row r="10">
      <c r="A10" t="s" s="4">
        <v>67</v>
      </c>
      <c r="B10" t="n" s="7">
        <v>416.4546</v>
      </c>
      <c r="C10" t="n" s="7">
        <v>533.7272</v>
      </c>
      <c r="D10" t="n" s="7">
        <v>256.782</v>
      </c>
      <c r="E10" t="n" s="7">
        <v>169.8183</v>
      </c>
      <c r="F10" t="n" s="7">
        <v>267.0</v>
      </c>
      <c r="G10" t="n" s="7">
        <v>308.1091</v>
      </c>
      <c r="H10" t="n" s="7">
        <v>396.0462</v>
      </c>
      <c r="I10" s="7" t="n">
        <f>SUM(B10:H10)</f>
        <v>0.0</v>
      </c>
    </row>
    <row r="11">
      <c r="A11" t="s" s="2">
        <v>68</v>
      </c>
      <c r="B11" t="n" s="5">
        <v>201.2909</v>
      </c>
      <c r="C11" t="n" s="5">
        <v>554.0181</v>
      </c>
      <c r="D11" t="n" s="5">
        <v>207.2728</v>
      </c>
      <c r="E11" t="n" s="5">
        <v>184.4546</v>
      </c>
      <c r="F11" t="n" s="5">
        <v>290.3638</v>
      </c>
      <c r="G11" t="n" s="5">
        <v>307.5455</v>
      </c>
      <c r="H11" t="n" s="5">
        <v>245.7455</v>
      </c>
      <c r="I11" s="5" t="n">
        <f>SUM(B11:H11)</f>
        <v>0.0</v>
      </c>
    </row>
    <row r="12">
      <c r="A12" t="s" s="4">
        <v>69</v>
      </c>
      <c r="B12" t="n" s="7">
        <v>268.5456</v>
      </c>
      <c r="C12" t="n" s="7">
        <v>211.6546</v>
      </c>
      <c r="D12" t="n" s="7">
        <v>136.4547</v>
      </c>
      <c r="E12" t="n" s="7">
        <v>216.182</v>
      </c>
      <c r="F12" t="n" s="7">
        <v>205.5548</v>
      </c>
      <c r="G12" t="n" s="7">
        <v>93.1092</v>
      </c>
      <c r="H12" t="n" s="7">
        <v>256.2911</v>
      </c>
      <c r="I12" s="7" t="n">
        <f>SUM(B12:H12)</f>
        <v>0.0</v>
      </c>
    </row>
    <row r="13">
      <c r="A13" t="s" s="2">
        <v>70</v>
      </c>
      <c r="B13" t="n" s="5">
        <v>226.9273</v>
      </c>
      <c r="C13" t="n" s="5">
        <v>279.8182</v>
      </c>
      <c r="D13" t="n" s="5">
        <v>193.0911</v>
      </c>
      <c r="E13" t="n" s="5">
        <v>189.9273</v>
      </c>
      <c r="F13" t="n" s="5">
        <v>104.9092</v>
      </c>
      <c r="G13" t="n" s="5">
        <v>91.3637</v>
      </c>
      <c r="H13" t="n" s="5">
        <v>203.0909</v>
      </c>
      <c r="I13" s="5" t="n">
        <f>SUM(B13:H13)</f>
        <v>0.0</v>
      </c>
    </row>
    <row r="14">
      <c r="A14" t="s" s="4">
        <v>71</v>
      </c>
      <c r="B14" t="n" s="7">
        <v>135.8183</v>
      </c>
      <c r="C14" t="n" s="7">
        <v>177.182</v>
      </c>
      <c r="D14" t="n" s="7">
        <v>255.7274</v>
      </c>
      <c r="E14" t="n" s="7">
        <v>118.4001</v>
      </c>
      <c r="F14" t="n" s="7">
        <v>95.0002</v>
      </c>
      <c r="G14" t="n" s="7">
        <v>68.9091</v>
      </c>
      <c r="H14" t="n" s="7">
        <v>104.0909</v>
      </c>
      <c r="I14" s="7" t="n">
        <f>SUM(B14:H14)</f>
        <v>0.0</v>
      </c>
    </row>
    <row r="15">
      <c r="A15" t="s" s="2">
        <v>72</v>
      </c>
      <c r="B15" t="n" s="5">
        <v>176.2728</v>
      </c>
      <c r="C15" t="n" s="5">
        <v>66.8183</v>
      </c>
      <c r="D15" t="n" s="5">
        <v>294.0</v>
      </c>
      <c r="E15" t="n" s="5">
        <v>254.0909</v>
      </c>
      <c r="F15" t="n" s="5">
        <v>136.6546</v>
      </c>
      <c r="G15" t="n" s="5">
        <v>51.0909</v>
      </c>
      <c r="H15" t="n" s="5">
        <v>188.0001</v>
      </c>
      <c r="I15" s="5" t="n">
        <f>SUM(B15:H15)</f>
        <v>0.0</v>
      </c>
    </row>
    <row r="16">
      <c r="A16" t="s" s="4">
        <v>73</v>
      </c>
      <c r="B16" t="n" s="7">
        <v>390.6364</v>
      </c>
      <c r="C16" t="n" s="7">
        <v>386.2728</v>
      </c>
      <c r="D16" t="n" s="7">
        <v>260.5638</v>
      </c>
      <c r="E16" t="n" s="7">
        <v>338.2909</v>
      </c>
      <c r="F16" t="n" s="7">
        <v>130.3637</v>
      </c>
      <c r="G16" t="n" s="7">
        <v>291.909</v>
      </c>
      <c r="H16" t="n" s="7">
        <v>182.5455</v>
      </c>
      <c r="I16" s="7" t="n">
        <f>SUM(B16:H16)</f>
        <v>0.0</v>
      </c>
    </row>
    <row r="17">
      <c r="A17" t="s" s="2">
        <v>74</v>
      </c>
      <c r="B17" t="n" s="5">
        <v>175.4546</v>
      </c>
      <c r="C17" t="n" s="5">
        <v>254.0909</v>
      </c>
      <c r="D17" t="n" s="5">
        <v>390.6455</v>
      </c>
      <c r="E17" t="n" s="5">
        <v>255.6365</v>
      </c>
      <c r="F17" t="n" s="5">
        <v>81.3636</v>
      </c>
      <c r="G17" t="n" s="5">
        <v>204.1817</v>
      </c>
      <c r="H17" t="n" s="5">
        <v>186.5637</v>
      </c>
      <c r="I17" s="5" t="n">
        <f>SUM(B17:H17)</f>
        <v>0.0</v>
      </c>
    </row>
    <row r="18">
      <c r="A18" t="s" s="4">
        <v>75</v>
      </c>
      <c r="B18" t="n" s="7">
        <v>145.3636</v>
      </c>
      <c r="C18" t="n" s="7">
        <v>157.2727</v>
      </c>
      <c r="D18" t="n" s="7">
        <v>176.9091</v>
      </c>
      <c r="E18" t="n" s="7">
        <v>102.2728</v>
      </c>
      <c r="F18" t="n" s="7">
        <v>313.5637</v>
      </c>
      <c r="G18" t="n" s="7">
        <v>161.6364</v>
      </c>
      <c r="H18" t="n" s="7">
        <v>28.9091</v>
      </c>
      <c r="I18" s="7" t="n">
        <f>SUM(B18:H18)</f>
        <v>0.0</v>
      </c>
    </row>
    <row r="19">
      <c r="A19" t="s" s="2">
        <v>76</v>
      </c>
      <c r="B19" t="n" s="5">
        <v>0.0</v>
      </c>
      <c r="C19" t="n" s="5">
        <v>12.6364</v>
      </c>
      <c r="D19" t="n" s="5">
        <v>9.0</v>
      </c>
      <c r="E19" t="n" s="5">
        <v>26.3818</v>
      </c>
      <c r="F19" t="n" s="5">
        <v>22.7273</v>
      </c>
      <c r="G19" t="n" s="5">
        <v>39.7273</v>
      </c>
      <c r="H19" t="n" s="5">
        <v>32.5455</v>
      </c>
      <c r="I19" s="5" t="n">
        <f>SUM(B19:H19)</f>
        <v>0.0</v>
      </c>
    </row>
    <row r="20">
      <c r="A20" t="s" s="4">
        <v>77</v>
      </c>
      <c r="B20" t="n" s="7">
        <v>0.0</v>
      </c>
      <c r="C20" t="n" s="7">
        <v>0.0</v>
      </c>
      <c r="D20" t="n" s="7">
        <v>0.0</v>
      </c>
      <c r="E20" t="n" s="7">
        <v>0.0</v>
      </c>
      <c r="F20" t="n" s="7">
        <v>32.5455</v>
      </c>
      <c r="G20" t="n" s="7">
        <v>0.0</v>
      </c>
      <c r="H20" t="n" s="7">
        <v>0.0</v>
      </c>
      <c r="I20" s="7" t="n">
        <f>SUM(B20:H20)</f>
        <v>0.0</v>
      </c>
    </row>
    <row r="21">
      <c r="A21" t="s" s="2">
        <v>78</v>
      </c>
      <c r="B21" t="n" s="5">
        <v>0.0</v>
      </c>
      <c r="C21" t="n" s="5">
        <v>0.0</v>
      </c>
      <c r="D21" t="n" s="5">
        <v>0.0</v>
      </c>
      <c r="E21" t="n" s="5">
        <v>0.0</v>
      </c>
      <c r="F21" t="n" s="5">
        <v>0.0</v>
      </c>
      <c r="G21" t="n" s="5">
        <v>0.0</v>
      </c>
      <c r="H21" t="n" s="5">
        <v>0.0</v>
      </c>
      <c r="I21" s="5" t="n">
        <f>SUM(B21:H21)</f>
        <v>0.0</v>
      </c>
    </row>
    <row r="22">
      <c r="A22" t="s" s="4">
        <v>79</v>
      </c>
      <c r="B22" t="n" s="7">
        <v>0.0</v>
      </c>
      <c r="C22" t="n" s="7">
        <v>0.0</v>
      </c>
      <c r="D22" t="n" s="7">
        <v>0.0</v>
      </c>
      <c r="E22" t="n" s="7">
        <v>0.0</v>
      </c>
      <c r="F22" t="n" s="7">
        <v>0.0</v>
      </c>
      <c r="G22" t="n" s="7">
        <v>0.0</v>
      </c>
      <c r="H22" t="n" s="7">
        <v>0.0</v>
      </c>
      <c r="I22" s="7" t="n">
        <f>SUM(B22:H22)</f>
        <v>0.0</v>
      </c>
    </row>
    <row r="23">
      <c r="A23" t="s" s="2">
        <v>80</v>
      </c>
      <c r="B23" t="n" s="5">
        <v>0.0</v>
      </c>
      <c r="C23" t="n" s="5">
        <v>0.0</v>
      </c>
      <c r="D23" t="n" s="5">
        <v>0.0</v>
      </c>
      <c r="E23" t="n" s="5">
        <v>0.0</v>
      </c>
      <c r="F23" t="n" s="5">
        <v>0.0</v>
      </c>
      <c r="G23" t="n" s="5">
        <v>0.0</v>
      </c>
      <c r="H23" t="n" s="5">
        <v>0.0</v>
      </c>
      <c r="I23" s="5" t="n">
        <f>SUM(B23:H23)</f>
        <v>0.0</v>
      </c>
    </row>
    <row r="24">
      <c r="A24" t="s" s="1">
        <v>81</v>
      </c>
      <c r="B24" s="7" t="n">
        <f>SUM(B4:B23)</f>
        <v>0.0</v>
      </c>
      <c r="C24" s="7" t="n">
        <f>SUM(C4:C23)</f>
        <v>0.0</v>
      </c>
      <c r="D24" s="7" t="n">
        <f>SUM(D4:D23)</f>
        <v>0.0</v>
      </c>
      <c r="E24" s="7" t="n">
        <f>SUM(E4:E23)</f>
        <v>0.0</v>
      </c>
      <c r="F24" s="7" t="n">
        <f>SUM(F4:F23)</f>
        <v>0.0</v>
      </c>
      <c r="G24" s="7" t="n">
        <f>SUM(G4:G23)</f>
        <v>0.0</v>
      </c>
      <c r="H24" s="7" t="n">
        <f>SUM(H4:H23)</f>
        <v>0.0</v>
      </c>
      <c r="I24" s="7" t="n">
        <f>SUM(B24:H24)</f>
        <v>0.0</v>
      </c>
    </row>
    <row r="25">
      <c r="A25" t="s" s="1">
        <v>82</v>
      </c>
      <c r="B25" t="n" s="1">
        <v>3876.7548</v>
      </c>
      <c r="C25" t="n" s="1">
        <v>2044.6182</v>
      </c>
      <c r="D25" t="n" s="1">
        <v>2567.3</v>
      </c>
      <c r="E25" t="n" s="1">
        <v>2921.4639</v>
      </c>
      <c r="F25" t="n" s="1">
        <v>2519.7452</v>
      </c>
      <c r="G25" t="n" s="1">
        <v>2828.064</v>
      </c>
      <c r="H25" t="n" s="1">
        <v>2822.1821</v>
      </c>
      <c r="I25" s="5" t="n">
        <f>SUM(B25:H25)</f>
        <v>0.0</v>
      </c>
    </row>
    <row r="26">
      <c r="A26" t="s" s="1">
        <v>83</v>
      </c>
      <c r="B26" s="9" t="n">
        <f>(B24-B25)/B25</f>
        <v>0.0</v>
      </c>
      <c r="C26" s="9" t="n">
        <f>(C24-C25)/C25</f>
        <v>0.0</v>
      </c>
      <c r="D26" s="9" t="n">
        <f>(D24-D25)/D25</f>
        <v>0.0</v>
      </c>
      <c r="E26" s="9" t="n">
        <f>(E24-E25)/E25</f>
        <v>0.0</v>
      </c>
      <c r="F26" s="9" t="n">
        <f>(F24-F25)/F25</f>
        <v>0.0</v>
      </c>
      <c r="G26" s="9" t="n">
        <f>(G24-G25)/G25</f>
        <v>0.0</v>
      </c>
      <c r="H26" s="9" t="n">
        <f>(H24-H25)/H25</f>
        <v>0.0</v>
      </c>
      <c r="I26" s="9" t="n">
        <f>(I24-I25)/I25</f>
        <v>0.0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2026-06-08T04:10:50Z</dcterms:created>
  <dc:creator>Apache POI</dc:creator>
</cp:coreProperties>
</file>