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NALISI ARTICOLI" r:id="rId3" sheetId="1"/>
    <sheet name="TOP-FLOP PDT SETTIMANALE" r:id="rId4" sheetId="2"/>
    <sheet name="VENDUTO FO SETTIMANALE" r:id="rId5" sheetId="3"/>
  </sheets>
</workbook>
</file>

<file path=xl/sharedStrings.xml><?xml version="1.0" encoding="utf-8"?>
<sst xmlns="http://schemas.openxmlformats.org/spreadsheetml/2006/main" count="189" uniqueCount="157">
  <si>
    <t>CODICE</t>
  </si>
  <si>
    <t>ARTICOLO</t>
  </si>
  <si>
    <t>IMPORTO</t>
  </si>
  <si>
    <t>UNITÀ VENDUTE</t>
  </si>
  <si>
    <t>% TOT</t>
  </si>
  <si>
    <t>50-004-011-000560</t>
  </si>
  <si>
    <t>Arrosticini Di Pecora</t>
  </si>
  <si>
    <t>50-004-011-000860</t>
  </si>
  <si>
    <t>Patate Al Forno</t>
  </si>
  <si>
    <t>50-004-011-001370</t>
  </si>
  <si>
    <t>Verdure Grigliate</t>
  </si>
  <si>
    <t>50-004-011-001310</t>
  </si>
  <si>
    <t>Hamburger di B.A. con patate</t>
  </si>
  <si>
    <t>070068</t>
  </si>
  <si>
    <t>Bistecca Con Filetto 40-60 Gg</t>
  </si>
  <si>
    <t>50-004-011-000590</t>
  </si>
  <si>
    <t>Filetto Bovino adulto</t>
  </si>
  <si>
    <t>070002</t>
  </si>
  <si>
    <t>Bistecca In Costata 40-60 Gg</t>
  </si>
  <si>
    <t>50-004-011-002120</t>
  </si>
  <si>
    <t>Controfiletto B.A.</t>
  </si>
  <si>
    <t>50-004-011-888888</t>
  </si>
  <si>
    <t>Shopper BIO</t>
  </si>
  <si>
    <t>50-004-011-000750</t>
  </si>
  <si>
    <t>Punta Di Petto (Con Patate)</t>
  </si>
  <si>
    <t>50-004-011-001660</t>
  </si>
  <si>
    <t>Riso</t>
  </si>
  <si>
    <t>50-004-011-001480</t>
  </si>
  <si>
    <t>Grigliata bovino</t>
  </si>
  <si>
    <t>50-004-011-000850</t>
  </si>
  <si>
    <t xml:space="preserve">Insalata Mista </t>
  </si>
  <si>
    <t>50-004-011-001300</t>
  </si>
  <si>
    <t>Costine di suino</t>
  </si>
  <si>
    <t>50-004-011-000700</t>
  </si>
  <si>
    <t>Tagliata Pollo</t>
  </si>
  <si>
    <t>070005</t>
  </si>
  <si>
    <t>Bistecca  Con Filetto 30-40 Gg</t>
  </si>
  <si>
    <t>50-004-011-000670</t>
  </si>
  <si>
    <t>Spiedini Misti</t>
  </si>
  <si>
    <t>50-004-011-000600</t>
  </si>
  <si>
    <t>Grigliata Mista</t>
  </si>
  <si>
    <t>070001</t>
  </si>
  <si>
    <t>Bistecca In Costata 30-40 Gg</t>
  </si>
  <si>
    <t>50-004-011-000660</t>
  </si>
  <si>
    <t>Salsiccia Toscana (2 Pz.)</t>
  </si>
  <si>
    <t>50-004-011-002290</t>
  </si>
  <si>
    <t>Fiorentina Chianina</t>
  </si>
  <si>
    <t>070066</t>
  </si>
  <si>
    <t>Bistecca In Costata</t>
  </si>
  <si>
    <t>50-004-011-001500</t>
  </si>
  <si>
    <t>Salsiccia cinta</t>
  </si>
  <si>
    <t>50-004-011-002300</t>
  </si>
  <si>
    <t>Costata Chianina</t>
  </si>
  <si>
    <t>070067</t>
  </si>
  <si>
    <t>Bistecca Con Filetto</t>
  </si>
  <si>
    <t>50-004-011-000620</t>
  </si>
  <si>
    <t xml:space="preserve">Hamburger Di B.A. </t>
  </si>
  <si>
    <t>50-004-011-000610</t>
  </si>
  <si>
    <t>Grigliata Mista Xxl</t>
  </si>
  <si>
    <t>50-004-011-000840</t>
  </si>
  <si>
    <t>Contorno Del Giorno</t>
  </si>
  <si>
    <t>50-004-011-000630</t>
  </si>
  <si>
    <t>Hamburger Di Cinta Senese  (Con Patate)</t>
  </si>
  <si>
    <t>50-004-011-001510</t>
  </si>
  <si>
    <t>Salsiccia bovino</t>
  </si>
  <si>
    <t>50-004-011-001560</t>
  </si>
  <si>
    <t>Pancetta porchettata</t>
  </si>
  <si>
    <t>50-004-011-000710</t>
  </si>
  <si>
    <t>Etrusca Marinata Birra (Con Patate)</t>
  </si>
  <si>
    <t>50-004-011-001390</t>
  </si>
  <si>
    <t>Tomahawk suino</t>
  </si>
  <si>
    <t>070045</t>
  </si>
  <si>
    <t>Fiorentina 20-30 (Asporto)</t>
  </si>
  <si>
    <t>070039</t>
  </si>
  <si>
    <t>Costata 30-40 Gg (Asporto)</t>
  </si>
  <si>
    <t>070046</t>
  </si>
  <si>
    <t>Fiorentina 30-40 Gg (Asporto)</t>
  </si>
  <si>
    <t>50-004-011-000740</t>
  </si>
  <si>
    <t>Pulled Pork (Con Patate)</t>
  </si>
  <si>
    <t>070047</t>
  </si>
  <si>
    <t>Fiorenita 20-30 Gg (Da Cucinare)</t>
  </si>
  <si>
    <t>50-004-011-000730</t>
  </si>
  <si>
    <t>Stinco Di Suino (Con Patate)</t>
  </si>
  <si>
    <t>50-004-011-002270</t>
  </si>
  <si>
    <t>Hamburger suino lardellato</t>
  </si>
  <si>
    <t>070059</t>
  </si>
  <si>
    <t>Salsiccia Di Cinta</t>
  </si>
  <si>
    <t>50-004-011-000640</t>
  </si>
  <si>
    <t>Hamburger Di Chianina (Con Patate)</t>
  </si>
  <si>
    <t>070056</t>
  </si>
  <si>
    <t>Pancetta/Guanciale Suino</t>
  </si>
  <si>
    <t>070051</t>
  </si>
  <si>
    <t>Hamburger B.A.</t>
  </si>
  <si>
    <t>070038</t>
  </si>
  <si>
    <t>50-004-011-002190</t>
  </si>
  <si>
    <t>Fiorentina filetto vacca spagnola</t>
  </si>
  <si>
    <t>070053</t>
  </si>
  <si>
    <t xml:space="preserve">Hamburger Cinta </t>
  </si>
  <si>
    <t>070055</t>
  </si>
  <si>
    <t>Magro Per Macinato B.A.</t>
  </si>
  <si>
    <t>070040</t>
  </si>
  <si>
    <t>Costata 40-60 Gg (Asporto)</t>
  </si>
  <si>
    <t>070037</t>
  </si>
  <si>
    <t>Capocollo Di Suino</t>
  </si>
  <si>
    <t>50-004-011-000830</t>
  </si>
  <si>
    <t>Cipolle In Agrodolce</t>
  </si>
  <si>
    <t>070060</t>
  </si>
  <si>
    <t>Sovracosce Di Pollo</t>
  </si>
  <si>
    <t>070058</t>
  </si>
  <si>
    <t>Salsiccia Di Suino</t>
  </si>
  <si>
    <t>070044</t>
  </si>
  <si>
    <t>Filetto B.A.</t>
  </si>
  <si>
    <t>070052</t>
  </si>
  <si>
    <t>Hamburger Chianina</t>
  </si>
  <si>
    <t>070020</t>
  </si>
  <si>
    <t>Mortadella Pavanese (Pezzo/Intero)</t>
  </si>
  <si>
    <t>070022</t>
  </si>
  <si>
    <t>Pancetta Tesa Sambucana (Pezzo/Intero)</t>
  </si>
  <si>
    <t>070057</t>
  </si>
  <si>
    <t>Polletto</t>
  </si>
  <si>
    <t>TOTALE</t>
  </si>
  <si>
    <t>REPORT SETTIMANALE  5 PRODOTTI PIU' VENDUTI</t>
  </si>
  <si>
    <t>TOTALE GRUPPO</t>
  </si>
  <si>
    <t>REPORT PERIODICO 5 PRODOTTI MENO VENDUTI</t>
  </si>
  <si>
    <t>REPORT SETTIMANALE VENDUTO GIORNALIERO PER FO</t>
  </si>
  <si>
    <t>FASCIA ORARIA</t>
  </si>
  <si>
    <t>LUNEDÌ</t>
  </si>
  <si>
    <t>MARTEDÌ</t>
  </si>
  <si>
    <t>MERCOLEDÌ</t>
  </si>
  <si>
    <t>GIOVEDÌ</t>
  </si>
  <si>
    <t>VENERDÌ</t>
  </si>
  <si>
    <t>SABATO</t>
  </si>
  <si>
    <t>DOMENICA</t>
  </si>
  <si>
    <t>IMPORTO TOTALE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</si>
  <si>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</si>
  <si>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</si>
  <si>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</si>
  <si>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</si>
  <si>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</si>
  <si>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</si>
  <si>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</si>
  <si>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</si>
  <si>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</si>
  <si>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</si>
  <si>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</si>
  <si>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</si>
  <si>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</si>
  <si>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</si>
  <si>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</si>
  <si>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</si>
  <si>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</si>
  <si>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00</t>
  </si>
  <si>
    <t>01</t>
  </si>
  <si>
    <t>02</t>
  </si>
  <si>
    <t>TOTALE INCASSI (29/12/2025-04/01/2026)</t>
  </si>
  <si>
    <t>TOTALE INCASSI PERIODO PRECEDENTE (30/12/2024-05/01/2025)</t>
  </si>
  <si>
    <t>DIFFERENZA % PERIODO PRECEDENTE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</si>
</sst>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strRef>
              <c:f>'VENDUTO FO SETTIMANALE'!$B$3</c:f>
              <c:strCache>
                <c:ptCount val="1"/>
                <c:pt idx="0">
                  <c:v>lunedì</c:v>
                </c:pt>
              </c:strCache>
            </c:strRef>
          </c:tx>
          <c:spPr>
            <a:ln w="25400">
              <a:solidFill>
                <a:prstClr val="violet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SETTIMANALE'!$B$4:$B$23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16.2727</c:v>
                </c:pt>
                <c:pt idx="3">
                  <c:v>17.1819</c:v>
                </c:pt>
                <c:pt idx="4">
                  <c:v>314.0001</c:v>
                </c:pt>
                <c:pt idx="5">
                  <c:v>1847.7821</c:v>
                </c:pt>
                <c:pt idx="6">
                  <c:v>1120.2822</c:v>
                </c:pt>
                <c:pt idx="7">
                  <c:v>1651.4976</c:v>
                </c:pt>
                <c:pt idx="8">
                  <c:v>536.4967</c:v>
                </c:pt>
                <c:pt idx="9">
                  <c:v>266.9091</c:v>
                </c:pt>
                <c:pt idx="10">
                  <c:v>436.2726</c:v>
                </c:pt>
                <c:pt idx="11">
                  <c:v>814.0091</c:v>
                </c:pt>
                <c:pt idx="12">
                  <c:v>1577.9546</c:v>
                </c:pt>
                <c:pt idx="13">
                  <c:v>1014.991</c:v>
                </c:pt>
                <c:pt idx="14">
                  <c:v>151.4545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1"/>
          <c:order val="1"/>
          <c:tx>
            <c:strRef>
              <c:f>'VENDUTO FO SETTIMANALE'!$C$3</c:f>
              <c:strCache>
                <c:ptCount val="1"/>
                <c:pt idx="0">
                  <c:v>martedì</c:v>
                </c:pt>
              </c:strCache>
            </c:strRef>
          </c:tx>
          <c:spPr>
            <a:ln w="25400">
              <a:solidFill>
                <a:prstClr val="indigo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SETTIMANALE'!$C$4:$C$23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20.8182</c:v>
                </c:pt>
                <c:pt idx="3">
                  <c:v>16.2727</c:v>
                </c:pt>
                <c:pt idx="4">
                  <c:v>276.9091</c:v>
                </c:pt>
                <c:pt idx="5">
                  <c:v>1071.191</c:v>
                </c:pt>
                <c:pt idx="6">
                  <c:v>768.7545</c:v>
                </c:pt>
                <c:pt idx="7">
                  <c:v>900.391</c:v>
                </c:pt>
                <c:pt idx="8">
                  <c:v>389.4454</c:v>
                </c:pt>
                <c:pt idx="9">
                  <c:v>410.4274</c:v>
                </c:pt>
                <c:pt idx="10">
                  <c:v>706.7091</c:v>
                </c:pt>
                <c:pt idx="11">
                  <c:v>1168.009</c:v>
                </c:pt>
                <c:pt idx="12">
                  <c:v>1342.9728</c:v>
                </c:pt>
                <c:pt idx="13">
                  <c:v>1447.3546</c:v>
                </c:pt>
                <c:pt idx="14">
                  <c:v>503.4453</c:v>
                </c:pt>
                <c:pt idx="15">
                  <c:v>7.6364</c:v>
                </c:pt>
                <c:pt idx="16">
                  <c:v>0.0455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2"/>
          <c:order val="2"/>
          <c:tx>
            <c:strRef>
              <c:f>'VENDUTO FO SETTIMANALE'!$D$3</c:f>
              <c:strCache>
                <c:ptCount val="1"/>
                <c:pt idx="0">
                  <c:v>mercoledì</c:v>
                </c:pt>
              </c:strCache>
            </c:strRef>
          </c:tx>
          <c:spPr>
            <a:ln w="25400">
              <a:solidFill>
                <a:prstClr val="blu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SETTIMANALE'!$D$4:$D$23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410.7455</c:v>
                </c:pt>
                <c:pt idx="5">
                  <c:v>1087.4002</c:v>
                </c:pt>
                <c:pt idx="6">
                  <c:v>1107.3456</c:v>
                </c:pt>
                <c:pt idx="7">
                  <c:v>643.664</c:v>
                </c:pt>
                <c:pt idx="8">
                  <c:v>685.6726</c:v>
                </c:pt>
                <c:pt idx="9">
                  <c:v>247.9364</c:v>
                </c:pt>
                <c:pt idx="10">
                  <c:v>504.809</c:v>
                </c:pt>
                <c:pt idx="11">
                  <c:v>636.1455</c:v>
                </c:pt>
                <c:pt idx="12">
                  <c:v>723.3183</c:v>
                </c:pt>
                <c:pt idx="13">
                  <c:v>927.6</c:v>
                </c:pt>
                <c:pt idx="14">
                  <c:v>1495.3275</c:v>
                </c:pt>
                <c:pt idx="15">
                  <c:v>993.8091</c:v>
                </c:pt>
                <c:pt idx="16">
                  <c:v>194.4279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3"/>
          <c:order val="3"/>
          <c:tx>
            <c:strRef>
              <c:f>'VENDUTO FO SETTIMANALE'!$E$3</c:f>
              <c:strCache>
                <c:ptCount val="1"/>
                <c:pt idx="0">
                  <c:v>giovedì</c:v>
                </c:pt>
              </c:strCache>
            </c:strRef>
          </c:tx>
          <c:spPr>
            <a:ln w="25400">
              <a:solidFill>
                <a:prstClr val="green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SETTIMANALE'!$E$4:$E$23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32.5455</c:v>
                </c:pt>
                <c:pt idx="4">
                  <c:v>120.5909</c:v>
                </c:pt>
                <c:pt idx="5">
                  <c:v>958.5819</c:v>
                </c:pt>
                <c:pt idx="6">
                  <c:v>1649.3543</c:v>
                </c:pt>
                <c:pt idx="7">
                  <c:v>1461.9183</c:v>
                </c:pt>
                <c:pt idx="8">
                  <c:v>942.0455</c:v>
                </c:pt>
                <c:pt idx="9">
                  <c:v>424.5275</c:v>
                </c:pt>
                <c:pt idx="10">
                  <c:v>862.4001</c:v>
                </c:pt>
                <c:pt idx="11">
                  <c:v>870.2472</c:v>
                </c:pt>
                <c:pt idx="12">
                  <c:v>652.6637</c:v>
                </c:pt>
                <c:pt idx="13">
                  <c:v>1078.8092</c:v>
                </c:pt>
                <c:pt idx="14">
                  <c:v>456.3818</c:v>
                </c:pt>
                <c:pt idx="15">
                  <c:v>208.3727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4"/>
          <c:order val="4"/>
          <c:tx>
            <c:strRef>
              <c:f>'VENDUTO FO SETTIMANALE'!$F$3</c:f>
              <c:strCache>
                <c:ptCount val="1"/>
                <c:pt idx="0">
                  <c:v>venerdì</c:v>
                </c:pt>
              </c:strCache>
            </c:strRef>
          </c:tx>
          <c:spPr>
            <a:ln w="25400">
              <a:solidFill>
                <a:prstClr val="yellow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SETTIMANALE'!$F$4:$F$23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197.4546</c:v>
                </c:pt>
                <c:pt idx="5">
                  <c:v>915.691</c:v>
                </c:pt>
                <c:pt idx="6">
                  <c:v>891.9455</c:v>
                </c:pt>
                <c:pt idx="7">
                  <c:v>624.8637</c:v>
                </c:pt>
                <c:pt idx="8">
                  <c:v>283.0635</c:v>
                </c:pt>
                <c:pt idx="9">
                  <c:v>363.1365</c:v>
                </c:pt>
                <c:pt idx="10">
                  <c:v>314.8637</c:v>
                </c:pt>
                <c:pt idx="11">
                  <c:v>986.4643</c:v>
                </c:pt>
                <c:pt idx="12">
                  <c:v>1675.9098</c:v>
                </c:pt>
                <c:pt idx="13">
                  <c:v>1336.4277</c:v>
                </c:pt>
                <c:pt idx="14">
                  <c:v>385.0545</c:v>
                </c:pt>
                <c:pt idx="15">
                  <c:v>137.9002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5"/>
          <c:order val="5"/>
          <c:tx>
            <c:strRef>
              <c:f>'VENDUTO FO SETTIMANALE'!$G$3</c:f>
              <c:strCache>
                <c:ptCount val="1"/>
                <c:pt idx="0">
                  <c:v>sabato</c:v>
                </c:pt>
              </c:strCache>
            </c:strRef>
          </c:tx>
          <c:spPr>
            <a:ln w="25400">
              <a:solidFill>
                <a:prstClr val="dkOrang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SETTIMANALE'!$G$4:$G$23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18.1818</c:v>
                </c:pt>
                <c:pt idx="4">
                  <c:v>387.8818</c:v>
                </c:pt>
                <c:pt idx="5">
                  <c:v>1121.2998</c:v>
                </c:pt>
                <c:pt idx="6">
                  <c:v>1129.6817</c:v>
                </c:pt>
                <c:pt idx="7">
                  <c:v>446.6635</c:v>
                </c:pt>
                <c:pt idx="8">
                  <c:v>431.6363</c:v>
                </c:pt>
                <c:pt idx="9">
                  <c:v>261.8636</c:v>
                </c:pt>
                <c:pt idx="10">
                  <c:v>496.3364</c:v>
                </c:pt>
                <c:pt idx="11">
                  <c:v>1285.0094</c:v>
                </c:pt>
                <c:pt idx="12">
                  <c:v>1248.5272</c:v>
                </c:pt>
                <c:pt idx="13">
                  <c:v>1101.4547</c:v>
                </c:pt>
                <c:pt idx="14">
                  <c:v>504.5182</c:v>
                </c:pt>
                <c:pt idx="15">
                  <c:v>140.091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6"/>
          <c:order val="6"/>
          <c:tx>
            <c:strRef>
              <c:f>'VENDUTO FO SETTIMANALE'!$H$3</c:f>
              <c:strCache>
                <c:ptCount val="1"/>
                <c:pt idx="0">
                  <c:v>domenica</c:v>
                </c:pt>
              </c:strCache>
            </c:strRef>
          </c:tx>
          <c:spPr>
            <a:ln w="25400">
              <a:solidFill>
                <a:prstClr val="dkRed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SETTIMANALE'!$H$4:$H$23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37.1818</c:v>
                </c:pt>
                <c:pt idx="4">
                  <c:v>218.2727</c:v>
                </c:pt>
                <c:pt idx="5">
                  <c:v>1114.4272</c:v>
                </c:pt>
                <c:pt idx="6">
                  <c:v>1016.8999</c:v>
                </c:pt>
                <c:pt idx="7">
                  <c:v>1105.191</c:v>
                </c:pt>
                <c:pt idx="8">
                  <c:v>822.4363</c:v>
                </c:pt>
                <c:pt idx="9">
                  <c:v>215.2818</c:v>
                </c:pt>
                <c:pt idx="10">
                  <c:v>495.5</c:v>
                </c:pt>
                <c:pt idx="11">
                  <c:v>379.3637</c:v>
                </c:pt>
                <c:pt idx="12">
                  <c:v>947.3182</c:v>
                </c:pt>
                <c:pt idx="13">
                  <c:v>587.1818</c:v>
                </c:pt>
                <c:pt idx="14">
                  <c:v>282.7818</c:v>
                </c:pt>
                <c:pt idx="15">
                  <c:v>80.0455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midCat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>
  <c:chart>
    <c:plotArea>
      <c:layout/>
      <c:barChart>
        <c:barDir val="col"/>
        <c:ser>
          <c:idx val="0"/>
          <c:order val="0"/>
          <c:tx>
            <c:strRef>
              <c:f>'VENDUTO FO SETTIMANALE'!$A$4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prstClr val="saddleBrow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SETTIMANALE'!$B$4:$H$4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"/>
          <c:order val="1"/>
          <c:tx>
            <c:strRef>
              <c:f>'VENDUTO FO SETTIMANALE'!$A$5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prstClr val="seaGree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SETTIMANALE'!$B$5:$H$5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2"/>
          <c:order val="2"/>
          <c:tx>
            <c:strRef>
              <c:f>'VENDUTO FO SETTIMANALE'!$A$6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prstClr val="bisq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SETTIMANALE'!$B$6:$H$6</c:f>
              <c:numCache>
                <c:ptCount val="7"/>
                <c:pt idx="0">
                  <c:v>16.2727</c:v>
                </c:pt>
                <c:pt idx="1">
                  <c:v>20.8182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3"/>
          <c:order val="3"/>
          <c:tx>
            <c:strRef>
              <c:f>'VENDUTO FO SETTIMANALE'!$A$7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prstClr val="medPurpl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SETTIMANALE'!$B$7:$H$7</c:f>
              <c:numCache>
                <c:ptCount val="7"/>
                <c:pt idx="0">
                  <c:v>17.1819</c:v>
                </c:pt>
                <c:pt idx="1">
                  <c:v>16.2727</c:v>
                </c:pt>
                <c:pt idx="2">
                  <c:v>0.0</c:v>
                </c:pt>
                <c:pt idx="3">
                  <c:v>32.5455</c:v>
                </c:pt>
                <c:pt idx="4">
                  <c:v>0.0</c:v>
                </c:pt>
                <c:pt idx="5">
                  <c:v>18.1818</c:v>
                </c:pt>
                <c:pt idx="6">
                  <c:v>37.1818</c:v>
                </c:pt>
              </c:numCache>
            </c:numRef>
          </c:val>
        </c:ser>
        <c:ser>
          <c:idx val="4"/>
          <c:order val="4"/>
          <c:tx>
            <c:strRef>
              <c:f>'VENDUTO FO SETTIMANALE'!$A$8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prstClr val="coral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SETTIMANALE'!$B$8:$H$8</c:f>
              <c:numCache>
                <c:ptCount val="7"/>
                <c:pt idx="0">
                  <c:v>314.0001</c:v>
                </c:pt>
                <c:pt idx="1">
                  <c:v>276.9091</c:v>
                </c:pt>
                <c:pt idx="2">
                  <c:v>410.7455</c:v>
                </c:pt>
                <c:pt idx="3">
                  <c:v>120.5909</c:v>
                </c:pt>
                <c:pt idx="4">
                  <c:v>197.4546</c:v>
                </c:pt>
                <c:pt idx="5">
                  <c:v>387.8818</c:v>
                </c:pt>
                <c:pt idx="6">
                  <c:v>218.2727</c:v>
                </c:pt>
              </c:numCache>
            </c:numRef>
          </c:val>
        </c:ser>
        <c:ser>
          <c:idx val="5"/>
          <c:order val="5"/>
          <c:tx>
            <c:strRef>
              <c:f>'VENDUTO FO SETTIMANALE'!$A$9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prstClr val="silver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SETTIMANALE'!$B$9:$H$9</c:f>
              <c:numCache>
                <c:ptCount val="7"/>
                <c:pt idx="0">
                  <c:v>1847.7821</c:v>
                </c:pt>
                <c:pt idx="1">
                  <c:v>1071.191</c:v>
                </c:pt>
                <c:pt idx="2">
                  <c:v>1087.4002</c:v>
                </c:pt>
                <c:pt idx="3">
                  <c:v>958.5819</c:v>
                </c:pt>
                <c:pt idx="4">
                  <c:v>915.691</c:v>
                </c:pt>
                <c:pt idx="5">
                  <c:v>1121.2998</c:v>
                </c:pt>
                <c:pt idx="6">
                  <c:v>1114.4272</c:v>
                </c:pt>
              </c:numCache>
            </c:numRef>
          </c:val>
        </c:ser>
        <c:ser>
          <c:idx val="6"/>
          <c:order val="6"/>
          <c:tx>
            <c:strRef>
              <c:f>'VENDUTO FO SETTIMANALE'!$A$10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prstClr val="blueViolet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SETTIMANALE'!$B$10:$H$10</c:f>
              <c:numCache>
                <c:ptCount val="7"/>
                <c:pt idx="0">
                  <c:v>1120.2822</c:v>
                </c:pt>
                <c:pt idx="1">
                  <c:v>768.7545</c:v>
                </c:pt>
                <c:pt idx="2">
                  <c:v>1107.3456</c:v>
                </c:pt>
                <c:pt idx="3">
                  <c:v>1649.3543</c:v>
                </c:pt>
                <c:pt idx="4">
                  <c:v>891.9455</c:v>
                </c:pt>
                <c:pt idx="5">
                  <c:v>1129.6817</c:v>
                </c:pt>
                <c:pt idx="6">
                  <c:v>1016.8999</c:v>
                </c:pt>
              </c:numCache>
            </c:numRef>
          </c:val>
        </c:ser>
        <c:ser>
          <c:idx val="7"/>
          <c:order val="7"/>
          <c:tx>
            <c:strRef>
              <c:f>'VENDUTO FO SETTIMANALE'!$A$11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prstClr val="gray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SETTIMANALE'!$B$11:$H$11</c:f>
              <c:numCache>
                <c:ptCount val="7"/>
                <c:pt idx="0">
                  <c:v>1651.4976</c:v>
                </c:pt>
                <c:pt idx="1">
                  <c:v>900.391</c:v>
                </c:pt>
                <c:pt idx="2">
                  <c:v>643.664</c:v>
                </c:pt>
                <c:pt idx="3">
                  <c:v>1461.9183</c:v>
                </c:pt>
                <c:pt idx="4">
                  <c:v>624.8637</c:v>
                </c:pt>
                <c:pt idx="5">
                  <c:v>446.6635</c:v>
                </c:pt>
                <c:pt idx="6">
                  <c:v>1105.191</c:v>
                </c:pt>
              </c:numCache>
            </c:numRef>
          </c:val>
        </c:ser>
        <c:ser>
          <c:idx val="8"/>
          <c:order val="8"/>
          <c:tx>
            <c:strRef>
              <c:f>'VENDUTO FO SETTIMANALE'!$A$12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prstClr val="khaki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SETTIMANALE'!$B$12:$H$12</c:f>
              <c:numCache>
                <c:ptCount val="7"/>
                <c:pt idx="0">
                  <c:v>536.4967</c:v>
                </c:pt>
                <c:pt idx="1">
                  <c:v>389.4454</c:v>
                </c:pt>
                <c:pt idx="2">
                  <c:v>685.6726</c:v>
                </c:pt>
                <c:pt idx="3">
                  <c:v>942.0455</c:v>
                </c:pt>
                <c:pt idx="4">
                  <c:v>283.0635</c:v>
                </c:pt>
                <c:pt idx="5">
                  <c:v>431.6363</c:v>
                </c:pt>
                <c:pt idx="6">
                  <c:v>822.4363</c:v>
                </c:pt>
              </c:numCache>
            </c:numRef>
          </c:val>
        </c:ser>
        <c:ser>
          <c:idx val="9"/>
          <c:order val="9"/>
          <c:tx>
            <c:strRef>
              <c:f>'VENDUTO FO SETTIMANALE'!$A$13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prstClr val="green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SETTIMANALE'!$B$13:$H$13</c:f>
              <c:numCache>
                <c:ptCount val="7"/>
                <c:pt idx="0">
                  <c:v>266.9091</c:v>
                </c:pt>
                <c:pt idx="1">
                  <c:v>410.4274</c:v>
                </c:pt>
                <c:pt idx="2">
                  <c:v>247.9364</c:v>
                </c:pt>
                <c:pt idx="3">
                  <c:v>424.5275</c:v>
                </c:pt>
                <c:pt idx="4">
                  <c:v>363.1365</c:v>
                </c:pt>
                <c:pt idx="5">
                  <c:v>261.8636</c:v>
                </c:pt>
                <c:pt idx="6">
                  <c:v>215.2818</c:v>
                </c:pt>
              </c:numCache>
            </c:numRef>
          </c:val>
        </c:ser>
        <c:ser>
          <c:idx val="10"/>
          <c:order val="10"/>
          <c:tx>
            <c:strRef>
              <c:f>'VENDUTO FO SETTIMANALE'!$A$14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prstClr val="maroo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SETTIMANALE'!$B$14:$H$14</c:f>
              <c:numCache>
                <c:ptCount val="7"/>
                <c:pt idx="0">
                  <c:v>436.2726</c:v>
                </c:pt>
                <c:pt idx="1">
                  <c:v>706.7091</c:v>
                </c:pt>
                <c:pt idx="2">
                  <c:v>504.809</c:v>
                </c:pt>
                <c:pt idx="3">
                  <c:v>862.4001</c:v>
                </c:pt>
                <c:pt idx="4">
                  <c:v>314.8637</c:v>
                </c:pt>
                <c:pt idx="5">
                  <c:v>496.3364</c:v>
                </c:pt>
                <c:pt idx="6">
                  <c:v>495.5</c:v>
                </c:pt>
              </c:numCache>
            </c:numRef>
          </c:val>
        </c:ser>
        <c:ser>
          <c:idx val="11"/>
          <c:order val="11"/>
          <c:tx>
            <c:strRef>
              <c:f>'VENDUTO FO SETTIMANALE'!$A$15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prstClr val="t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SETTIMANALE'!$B$15:$H$15</c:f>
              <c:numCache>
                <c:ptCount val="7"/>
                <c:pt idx="0">
                  <c:v>814.0091</c:v>
                </c:pt>
                <c:pt idx="1">
                  <c:v>1168.009</c:v>
                </c:pt>
                <c:pt idx="2">
                  <c:v>636.1455</c:v>
                </c:pt>
                <c:pt idx="3">
                  <c:v>870.2472</c:v>
                </c:pt>
                <c:pt idx="4">
                  <c:v>986.4643</c:v>
                </c:pt>
                <c:pt idx="5">
                  <c:v>1285.0094</c:v>
                </c:pt>
                <c:pt idx="6">
                  <c:v>379.3637</c:v>
                </c:pt>
              </c:numCache>
            </c:numRef>
          </c:val>
        </c:ser>
        <c:ser>
          <c:idx val="12"/>
          <c:order val="12"/>
          <c:tx>
            <c:strRef>
              <c:f>'VENDUTO FO SETTIMANALE'!$A$16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prstClr val="sky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SETTIMANALE'!$B$16:$H$16</c:f>
              <c:numCache>
                <c:ptCount val="7"/>
                <c:pt idx="0">
                  <c:v>1577.9546</c:v>
                </c:pt>
                <c:pt idx="1">
                  <c:v>1342.9728</c:v>
                </c:pt>
                <c:pt idx="2">
                  <c:v>723.3183</c:v>
                </c:pt>
                <c:pt idx="3">
                  <c:v>652.6637</c:v>
                </c:pt>
                <c:pt idx="4">
                  <c:v>1675.9098</c:v>
                </c:pt>
                <c:pt idx="5">
                  <c:v>1248.5272</c:v>
                </c:pt>
                <c:pt idx="6">
                  <c:v>947.3182</c:v>
                </c:pt>
              </c:numCache>
            </c:numRef>
          </c:val>
        </c:ser>
        <c:ser>
          <c:idx val="13"/>
          <c:order val="13"/>
          <c:tx>
            <c:strRef>
              <c:f>'VENDUTO FO SETTIMANALE'!$A$17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prstClr val="peru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SETTIMANALE'!$B$17:$H$17</c:f>
              <c:numCache>
                <c:ptCount val="7"/>
                <c:pt idx="0">
                  <c:v>1014.991</c:v>
                </c:pt>
                <c:pt idx="1">
                  <c:v>1447.3546</c:v>
                </c:pt>
                <c:pt idx="2">
                  <c:v>927.6</c:v>
                </c:pt>
                <c:pt idx="3">
                  <c:v>1078.8092</c:v>
                </c:pt>
                <c:pt idx="4">
                  <c:v>1336.4277</c:v>
                </c:pt>
                <c:pt idx="5">
                  <c:v>1101.4547</c:v>
                </c:pt>
                <c:pt idx="6">
                  <c:v>587.1818</c:v>
                </c:pt>
              </c:numCache>
            </c:numRef>
          </c:val>
        </c:ser>
        <c:ser>
          <c:idx val="14"/>
          <c:order val="14"/>
          <c:tx>
            <c:strRef>
              <c:f>'VENDUTO FO SETTIMANALE'!$A$18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prstClr val="red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SETTIMANALE'!$B$18:$H$18</c:f>
              <c:numCache>
                <c:ptCount val="7"/>
                <c:pt idx="0">
                  <c:v>151.4545</c:v>
                </c:pt>
                <c:pt idx="1">
                  <c:v>503.4453</c:v>
                </c:pt>
                <c:pt idx="2">
                  <c:v>1495.3275</c:v>
                </c:pt>
                <c:pt idx="3">
                  <c:v>456.3818</c:v>
                </c:pt>
                <c:pt idx="4">
                  <c:v>385.0545</c:v>
                </c:pt>
                <c:pt idx="5">
                  <c:v>504.5182</c:v>
                </c:pt>
                <c:pt idx="6">
                  <c:v>282.7818</c:v>
                </c:pt>
              </c:numCache>
            </c:numRef>
          </c:val>
        </c:ser>
        <c:ser>
          <c:idx val="15"/>
          <c:order val="15"/>
          <c:tx>
            <c:strRef>
              <c:f>'VENDUTO FO SETTIMANALE'!$A$19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prstClr val="magenta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SETTIMANALE'!$B$19:$H$19</c:f>
              <c:numCache>
                <c:ptCount val="7"/>
                <c:pt idx="0">
                  <c:v>0.0</c:v>
                </c:pt>
                <c:pt idx="1">
                  <c:v>7.6364</c:v>
                </c:pt>
                <c:pt idx="2">
                  <c:v>993.8091</c:v>
                </c:pt>
                <c:pt idx="3">
                  <c:v>208.3727</c:v>
                </c:pt>
                <c:pt idx="4">
                  <c:v>137.9002</c:v>
                </c:pt>
                <c:pt idx="5">
                  <c:v>140.091</c:v>
                </c:pt>
                <c:pt idx="6">
                  <c:v>80.0455</c:v>
                </c:pt>
              </c:numCache>
            </c:numRef>
          </c:val>
        </c:ser>
        <c:ser>
          <c:idx val="16"/>
          <c:order val="16"/>
          <c:tx>
            <c:strRef>
              <c:f>'VENDUTO FO SETTIMANALE'!$A$20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prstClr val="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SETTIMANALE'!$B$20:$H$20</c:f>
              <c:numCache>
                <c:ptCount val="7"/>
                <c:pt idx="0">
                  <c:v>0.0</c:v>
                </c:pt>
                <c:pt idx="1">
                  <c:v>0.0455</c:v>
                </c:pt>
                <c:pt idx="2">
                  <c:v>194.4279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7"/>
          <c:order val="17"/>
          <c:tx>
            <c:strRef>
              <c:f>'VENDUTO FO SETTIMANALE'!$A$21</c:f>
              <c:strCache>
                <c:ptCount val="1"/>
                <c:pt idx="0">
                  <c:v>00</c:v>
                </c:pt>
              </c:strCache>
            </c:strRef>
          </c:tx>
          <c:spPr>
            <a:solidFill>
              <a:prstClr val="slate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SETTIMANALE'!$B$21:$H$21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8"/>
          <c:order val="18"/>
          <c:tx>
            <c:strRef>
              <c:f>'VENDUTO FO SETTIMANALE'!$A$22</c:f>
              <c:strCache>
                <c:ptCount val="1"/>
                <c:pt idx="0">
                  <c:v>01</c:v>
                </c:pt>
              </c:strCache>
            </c:strRef>
          </c:tx>
          <c:spPr>
            <a:solidFill>
              <a:prstClr val="dkCy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SETTIMANALE'!$B$22:$H$22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9"/>
          <c:order val="19"/>
          <c:tx>
            <c:strRef>
              <c:f>'VENDUTO FO SETTIMANALE'!$A$23</c:f>
              <c:strCache>
                <c:ptCount val="1"/>
                <c:pt idx="0">
                  <c:v>02</c:v>
                </c:pt>
              </c:strCache>
            </c:strRef>
          </c:tx>
          <c:spPr>
            <a:solidFill>
              <a:prstClr val="paleTurquois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SETTIMANALE'!$B$23:$H$23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between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30</xdr:row>
      <xdr:rowOff>0</xdr:rowOff>
    </xdr:from>
    <xdr:to>
      <xdr:col>10</xdr:col>
      <xdr:colOff>0</xdr:colOff>
      <xdr:row>45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0</xdr:col>
      <xdr:colOff>0</xdr:colOff>
      <xdr:row>50</xdr:row>
      <xdr:rowOff>0</xdr:rowOff>
    </xdr:from>
    <xdr:to>
      <xdr:col>10</xdr:col>
      <xdr:colOff>0</xdr:colOff>
      <xdr:row>65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2"/>
        </a:graphicData>
      </a:graphic>
    </xdr:graphicFrame>
    <xdr:clientData/>
  </xdr:twoCellAnchor>
</xdr:wsDr>
</file>

<file path=xl/worksheets/_rels/sheet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60"/>
  <sheetViews>
    <sheetView workbookViewId="0" tabSelected="true"/>
  </sheetViews>
  <sheetFormatPr defaultRowHeight="15.0"/>
  <cols>
    <col min="1" max="1" width="19.359375" customWidth="true" bestFit="true"/>
    <col min="2" max="2" width="39.24609375" customWidth="true" bestFit="true"/>
    <col min="3" max="3" width="13.363281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4">
        <v>5</v>
      </c>
      <c r="B2" t="s" s="4">
        <v>6</v>
      </c>
      <c r="C2" t="n" s="7">
        <v>1116.2729</v>
      </c>
      <c r="D2" t="n" s="7">
        <v>826.0</v>
      </c>
      <c r="E2" t="n" s="7">
        <v>1.8</v>
      </c>
    </row>
    <row r="3">
      <c r="A3" t="s" s="2">
        <v>7</v>
      </c>
      <c r="B3" t="s" s="2">
        <v>8</v>
      </c>
      <c r="C3" t="n" s="5">
        <v>2915.4548</v>
      </c>
      <c r="D3" t="n" s="5">
        <v>643.0</v>
      </c>
      <c r="E3" t="n" s="5">
        <v>4.69</v>
      </c>
    </row>
    <row r="4">
      <c r="A4" t="s" s="4">
        <v>9</v>
      </c>
      <c r="B4" t="s" s="4">
        <v>10</v>
      </c>
      <c r="C4" t="n" s="7">
        <v>1107.2718</v>
      </c>
      <c r="D4" t="n" s="7">
        <v>203.0</v>
      </c>
      <c r="E4" t="n" s="7">
        <v>1.78</v>
      </c>
    </row>
    <row r="5">
      <c r="A5" t="s" s="2">
        <v>11</v>
      </c>
      <c r="B5" t="s" s="2">
        <v>12</v>
      </c>
      <c r="C5" t="n" s="5">
        <v>2464.0914</v>
      </c>
      <c r="D5" t="n" s="5">
        <v>195.0</v>
      </c>
      <c r="E5" t="n" s="5">
        <v>3.96</v>
      </c>
    </row>
    <row r="6">
      <c r="A6" t="s" s="4">
        <v>13</v>
      </c>
      <c r="B6" t="s" s="4">
        <v>14</v>
      </c>
      <c r="C6" t="n" s="7">
        <v>11850.4726</v>
      </c>
      <c r="D6" t="n" s="7">
        <v>194.57</v>
      </c>
      <c r="E6" t="n" s="7">
        <v>19.06</v>
      </c>
    </row>
    <row r="7">
      <c r="A7" t="s" s="2">
        <v>15</v>
      </c>
      <c r="B7" t="s" s="2">
        <v>16</v>
      </c>
      <c r="C7" t="n" s="5">
        <v>3840.0</v>
      </c>
      <c r="D7" t="n" s="5">
        <v>192.0</v>
      </c>
      <c r="E7" t="n" s="5">
        <v>6.18</v>
      </c>
    </row>
    <row r="8">
      <c r="A8" t="s" s="4">
        <v>17</v>
      </c>
      <c r="B8" t="s" s="4">
        <v>18</v>
      </c>
      <c r="C8" t="n" s="7">
        <v>8918.5636</v>
      </c>
      <c r="D8" t="n" s="7">
        <v>172.11</v>
      </c>
      <c r="E8" t="n" s="7">
        <v>14.35</v>
      </c>
    </row>
    <row r="9">
      <c r="A9" t="s" s="2">
        <v>19</v>
      </c>
      <c r="B9" t="s" s="2">
        <v>20</v>
      </c>
      <c r="C9" t="n" s="5">
        <v>2952.7271</v>
      </c>
      <c r="D9" t="n" s="5">
        <v>163.0</v>
      </c>
      <c r="E9" t="n" s="5">
        <v>4.75</v>
      </c>
    </row>
    <row r="10">
      <c r="A10" t="s" s="4">
        <v>21</v>
      </c>
      <c r="B10" t="s" s="4">
        <v>22</v>
      </c>
      <c r="C10" t="n" s="7">
        <v>12.0819</v>
      </c>
      <c r="D10" t="n" s="7">
        <v>149.0</v>
      </c>
      <c r="E10" t="n" s="7">
        <v>0.02</v>
      </c>
    </row>
    <row r="11">
      <c r="A11" t="s" s="2">
        <v>23</v>
      </c>
      <c r="B11" t="s" s="2">
        <v>24</v>
      </c>
      <c r="C11" t="n" s="5">
        <v>2278.1817</v>
      </c>
      <c r="D11" t="n" s="5">
        <v>140.0</v>
      </c>
      <c r="E11" t="n" s="5">
        <v>3.67</v>
      </c>
    </row>
    <row r="12">
      <c r="A12" t="s" s="4">
        <v>25</v>
      </c>
      <c r="B12" t="s" s="4">
        <v>26</v>
      </c>
      <c r="C12" t="n" s="7">
        <v>598.1833</v>
      </c>
      <c r="D12" t="n" s="7">
        <v>132.0</v>
      </c>
      <c r="E12" t="n" s="7">
        <v>0.96</v>
      </c>
    </row>
    <row r="13">
      <c r="A13" t="s" s="2">
        <v>27</v>
      </c>
      <c r="B13" t="s" s="2">
        <v>28</v>
      </c>
      <c r="C13" t="n" s="5">
        <v>3540.0</v>
      </c>
      <c r="D13" t="n" s="5">
        <v>118.0</v>
      </c>
      <c r="E13" t="n" s="5">
        <v>5.69</v>
      </c>
    </row>
    <row r="14">
      <c r="A14" t="s" s="4">
        <v>29</v>
      </c>
      <c r="B14" t="s" s="4">
        <v>30</v>
      </c>
      <c r="C14" t="n" s="7">
        <v>443.6374</v>
      </c>
      <c r="D14" t="n" s="7">
        <v>98.0</v>
      </c>
      <c r="E14" t="n" s="7">
        <v>0.71</v>
      </c>
    </row>
    <row r="15">
      <c r="A15" t="s" s="2">
        <v>31</v>
      </c>
      <c r="B15" t="s" s="2">
        <v>32</v>
      </c>
      <c r="C15" t="n" s="5">
        <v>889.6002</v>
      </c>
      <c r="D15" t="n" s="5">
        <v>71.0</v>
      </c>
      <c r="E15" t="n" s="5">
        <v>1.43</v>
      </c>
    </row>
    <row r="16">
      <c r="A16" t="s" s="4">
        <v>33</v>
      </c>
      <c r="B16" t="s" s="4">
        <v>34</v>
      </c>
      <c r="C16" t="n" s="7">
        <v>762.2728</v>
      </c>
      <c r="D16" t="n" s="7">
        <v>65.0</v>
      </c>
      <c r="E16" t="n" s="7">
        <v>1.23</v>
      </c>
    </row>
    <row r="17">
      <c r="A17" t="s" s="2">
        <v>35</v>
      </c>
      <c r="B17" t="s" s="2">
        <v>36</v>
      </c>
      <c r="C17" t="n" s="5">
        <v>3327.2912</v>
      </c>
      <c r="D17" t="n" s="5">
        <v>57.2</v>
      </c>
      <c r="E17" t="n" s="5">
        <v>5.35</v>
      </c>
    </row>
    <row r="18">
      <c r="A18" t="s" s="4">
        <v>37</v>
      </c>
      <c r="B18" t="s" s="4">
        <v>38</v>
      </c>
      <c r="C18" t="n" s="7">
        <v>668.4546</v>
      </c>
      <c r="D18" t="n" s="7">
        <v>57.0</v>
      </c>
      <c r="E18" t="n" s="7">
        <v>1.08</v>
      </c>
    </row>
    <row r="19">
      <c r="A19" t="s" s="2">
        <v>39</v>
      </c>
      <c r="B19" t="s" s="2">
        <v>40</v>
      </c>
      <c r="C19" t="n" s="5">
        <v>899.9991</v>
      </c>
      <c r="D19" t="n" s="5">
        <v>55.0</v>
      </c>
      <c r="E19" t="n" s="5">
        <v>1.45</v>
      </c>
    </row>
    <row r="20">
      <c r="A20" t="s" s="4">
        <v>41</v>
      </c>
      <c r="B20" t="s" s="4">
        <v>42</v>
      </c>
      <c r="C20" t="n" s="7">
        <v>2414.6544</v>
      </c>
      <c r="D20" t="n" s="7">
        <v>49.19</v>
      </c>
      <c r="E20" t="n" s="7">
        <v>3.88</v>
      </c>
    </row>
    <row r="21">
      <c r="A21" t="s" s="2">
        <v>43</v>
      </c>
      <c r="B21" t="s" s="2">
        <v>44</v>
      </c>
      <c r="C21" t="n" s="5">
        <v>492.5454</v>
      </c>
      <c r="D21" t="n" s="5">
        <v>42.0</v>
      </c>
      <c r="E21" t="n" s="5">
        <v>0.79</v>
      </c>
    </row>
    <row r="22">
      <c r="A22" t="s" s="4">
        <v>45</v>
      </c>
      <c r="B22" t="s" s="4">
        <v>46</v>
      </c>
      <c r="C22" t="n" s="7">
        <v>2485.4545</v>
      </c>
      <c r="D22" t="n" s="7">
        <v>36.45</v>
      </c>
      <c r="E22" t="n" s="7">
        <v>4.0</v>
      </c>
    </row>
    <row r="23">
      <c r="A23" t="s" s="2">
        <v>47</v>
      </c>
      <c r="B23" t="s" s="2">
        <v>48</v>
      </c>
      <c r="C23" t="n" s="5">
        <v>1444.3184</v>
      </c>
      <c r="D23" t="n" s="5">
        <v>32.58</v>
      </c>
      <c r="E23" t="n" s="5">
        <v>2.32</v>
      </c>
    </row>
    <row r="24">
      <c r="A24" t="s" s="4">
        <v>49</v>
      </c>
      <c r="B24" t="s" s="4">
        <v>50</v>
      </c>
      <c r="C24" t="n" s="7">
        <v>391.7277</v>
      </c>
      <c r="D24" t="n" s="7">
        <v>31.0</v>
      </c>
      <c r="E24" t="n" s="7">
        <v>0.63</v>
      </c>
    </row>
    <row r="25">
      <c r="A25" t="s" s="2">
        <v>51</v>
      </c>
      <c r="B25" t="s" s="2">
        <v>52</v>
      </c>
      <c r="C25" t="n" s="5">
        <v>1683.0274</v>
      </c>
      <c r="D25" t="n" s="5">
        <v>28.5</v>
      </c>
      <c r="E25" t="n" s="5">
        <v>2.71</v>
      </c>
    </row>
    <row r="26">
      <c r="A26" t="s" s="4">
        <v>53</v>
      </c>
      <c r="B26" t="s" s="4">
        <v>54</v>
      </c>
      <c r="C26" t="n" s="7">
        <v>1513.5087</v>
      </c>
      <c r="D26" t="n" s="7">
        <v>28.24</v>
      </c>
      <c r="E26" t="n" s="7">
        <v>2.43</v>
      </c>
    </row>
    <row r="27">
      <c r="A27" t="s" s="2">
        <v>55</v>
      </c>
      <c r="B27" t="s" s="2">
        <v>56</v>
      </c>
      <c r="C27" t="n" s="5">
        <v>252.0</v>
      </c>
      <c r="D27" t="n" s="5">
        <v>28.0</v>
      </c>
      <c r="E27" t="n" s="5">
        <v>0.41</v>
      </c>
    </row>
    <row r="28">
      <c r="A28" t="s" s="4">
        <v>57</v>
      </c>
      <c r="B28" t="s" s="4">
        <v>58</v>
      </c>
      <c r="C28" t="n" s="7">
        <v>513.5449</v>
      </c>
      <c r="D28" t="n" s="7">
        <v>21.0</v>
      </c>
      <c r="E28" t="n" s="7">
        <v>0.83</v>
      </c>
    </row>
    <row r="29">
      <c r="A29" t="s" s="2">
        <v>59</v>
      </c>
      <c r="B29" t="s" s="2">
        <v>60</v>
      </c>
      <c r="C29" t="n" s="5">
        <v>114.5449</v>
      </c>
      <c r="D29" t="n" s="5">
        <v>21.0</v>
      </c>
      <c r="E29" t="n" s="5">
        <v>0.18</v>
      </c>
    </row>
    <row r="30">
      <c r="A30" t="s" s="4">
        <v>61</v>
      </c>
      <c r="B30" t="s" s="4">
        <v>62</v>
      </c>
      <c r="C30" t="n" s="7">
        <v>227.4549</v>
      </c>
      <c r="D30" t="n" s="7">
        <v>18.0</v>
      </c>
      <c r="E30" t="n" s="7">
        <v>0.37</v>
      </c>
    </row>
    <row r="31">
      <c r="A31" t="s" s="2">
        <v>63</v>
      </c>
      <c r="B31" t="s" s="2">
        <v>64</v>
      </c>
      <c r="C31" t="n" s="5">
        <v>164.273</v>
      </c>
      <c r="D31" t="n" s="5">
        <v>13.0</v>
      </c>
      <c r="E31" t="n" s="5">
        <v>0.26</v>
      </c>
    </row>
    <row r="32">
      <c r="A32" t="s" s="4">
        <v>65</v>
      </c>
      <c r="B32" t="s" s="4">
        <v>66</v>
      </c>
      <c r="C32" t="n" s="7">
        <v>179.9998</v>
      </c>
      <c r="D32" t="n" s="7">
        <v>11.0</v>
      </c>
      <c r="E32" t="n" s="7">
        <v>0.29</v>
      </c>
    </row>
    <row r="33">
      <c r="A33" t="s" s="2">
        <v>67</v>
      </c>
      <c r="B33" t="s" s="2">
        <v>68</v>
      </c>
      <c r="C33" t="n" s="5">
        <v>163.6363</v>
      </c>
      <c r="D33" t="n" s="5">
        <v>10.0</v>
      </c>
      <c r="E33" t="n" s="5">
        <v>0.26</v>
      </c>
    </row>
    <row r="34">
      <c r="A34" t="s" s="4">
        <v>69</v>
      </c>
      <c r="B34" t="s" s="4">
        <v>70</v>
      </c>
      <c r="C34" t="n" s="7">
        <v>147.2726</v>
      </c>
      <c r="D34" t="n" s="7">
        <v>9.0</v>
      </c>
      <c r="E34" t="n" s="7">
        <v>0.24</v>
      </c>
    </row>
    <row r="35">
      <c r="A35" t="s" s="2">
        <v>71</v>
      </c>
      <c r="B35" t="s" s="2">
        <v>72</v>
      </c>
      <c r="C35" t="n" s="5">
        <v>249.4545</v>
      </c>
      <c r="D35" t="n" s="5">
        <v>5.6</v>
      </c>
      <c r="E35" t="n" s="5">
        <v>0.4</v>
      </c>
    </row>
    <row r="36">
      <c r="A36" t="s" s="4">
        <v>73</v>
      </c>
      <c r="B36" t="s" s="4">
        <v>74</v>
      </c>
      <c r="C36" t="n" s="7">
        <v>164.491</v>
      </c>
      <c r="D36" t="n" s="7">
        <v>5.3</v>
      </c>
      <c r="E36" t="n" s="7">
        <v>0.26</v>
      </c>
    </row>
    <row r="37">
      <c r="A37" t="s" s="2">
        <v>75</v>
      </c>
      <c r="B37" t="s" s="2">
        <v>76</v>
      </c>
      <c r="C37" t="n" s="5">
        <v>240.909</v>
      </c>
      <c r="D37" t="n" s="5">
        <v>5.0</v>
      </c>
      <c r="E37" t="n" s="5">
        <v>0.39</v>
      </c>
    </row>
    <row r="38">
      <c r="A38" t="s" s="4">
        <v>77</v>
      </c>
      <c r="B38" t="s" s="4">
        <v>78</v>
      </c>
      <c r="C38" t="n" s="7">
        <v>81.3636</v>
      </c>
      <c r="D38" t="n" s="7">
        <v>5.0</v>
      </c>
      <c r="E38" t="n" s="7">
        <v>0.13</v>
      </c>
    </row>
    <row r="39">
      <c r="A39" t="s" s="2">
        <v>79</v>
      </c>
      <c r="B39" t="s" s="2">
        <v>80</v>
      </c>
      <c r="C39" t="n" s="5">
        <v>160.9091</v>
      </c>
      <c r="D39" t="n" s="5">
        <v>3.0</v>
      </c>
      <c r="E39" t="n" s="5">
        <v>0.26</v>
      </c>
    </row>
    <row r="40">
      <c r="A40" t="s" s="4">
        <v>81</v>
      </c>
      <c r="B40" t="s" s="4">
        <v>82</v>
      </c>
      <c r="C40" t="n" s="7">
        <v>43.6365</v>
      </c>
      <c r="D40" t="n" s="7">
        <v>3.0</v>
      </c>
      <c r="E40" t="n" s="7">
        <v>0.07</v>
      </c>
    </row>
    <row r="41">
      <c r="A41" t="s" s="2">
        <v>83</v>
      </c>
      <c r="B41" t="s" s="2">
        <v>84</v>
      </c>
      <c r="C41" t="n" s="5">
        <v>37.9091</v>
      </c>
      <c r="D41" t="n" s="5">
        <v>3.0</v>
      </c>
      <c r="E41" t="n" s="5">
        <v>0.06</v>
      </c>
    </row>
    <row r="42">
      <c r="A42" t="s" s="4">
        <v>85</v>
      </c>
      <c r="B42" t="s" s="4">
        <v>86</v>
      </c>
      <c r="C42" t="n" s="7">
        <v>41.4364</v>
      </c>
      <c r="D42" t="n" s="7">
        <v>2.2</v>
      </c>
      <c r="E42" t="n" s="7">
        <v>0.07</v>
      </c>
    </row>
    <row r="43">
      <c r="A43" t="s" s="2">
        <v>87</v>
      </c>
      <c r="B43" t="s" s="2">
        <v>88</v>
      </c>
      <c r="C43" t="n" s="5">
        <v>27.2727</v>
      </c>
      <c r="D43" t="n" s="5">
        <v>2.0</v>
      </c>
      <c r="E43" t="n" s="5">
        <v>0.04</v>
      </c>
    </row>
    <row r="44">
      <c r="A44" t="s" s="4">
        <v>89</v>
      </c>
      <c r="B44" t="s" s="4">
        <v>90</v>
      </c>
      <c r="C44" t="n" s="7">
        <v>19.8182</v>
      </c>
      <c r="D44" t="n" s="7">
        <v>2.0</v>
      </c>
      <c r="E44" t="n" s="7">
        <v>0.03</v>
      </c>
    </row>
    <row r="45">
      <c r="A45" t="s" s="2">
        <v>91</v>
      </c>
      <c r="B45" t="s" s="2">
        <v>92</v>
      </c>
      <c r="C45" t="n" s="5">
        <v>35.409</v>
      </c>
      <c r="D45" t="n" s="5">
        <v>1.97</v>
      </c>
      <c r="E45" t="n" s="5">
        <v>0.06</v>
      </c>
    </row>
    <row r="46">
      <c r="A46" t="s" s="4">
        <v>93</v>
      </c>
      <c r="B46" t="s" s="4">
        <v>20</v>
      </c>
      <c r="C46" t="n" s="7">
        <v>57.3818</v>
      </c>
      <c r="D46" t="n" s="7">
        <v>1.62</v>
      </c>
      <c r="E46" t="n" s="7">
        <v>0.09</v>
      </c>
    </row>
    <row r="47">
      <c r="A47" t="s" s="2">
        <v>94</v>
      </c>
      <c r="B47" t="s" s="2">
        <v>95</v>
      </c>
      <c r="C47" t="n" s="5">
        <v>85.3455</v>
      </c>
      <c r="D47" t="n" s="5">
        <v>1.29</v>
      </c>
      <c r="E47" t="n" s="5">
        <v>0.14</v>
      </c>
    </row>
    <row r="48">
      <c r="A48" t="s" s="4">
        <v>96</v>
      </c>
      <c r="B48" t="s" s="4">
        <v>97</v>
      </c>
      <c r="C48" t="n" s="7">
        <v>21.9</v>
      </c>
      <c r="D48" t="n" s="7">
        <v>1.1</v>
      </c>
      <c r="E48" t="n" s="7">
        <v>0.04</v>
      </c>
    </row>
    <row r="49">
      <c r="A49" t="s" s="2">
        <v>98</v>
      </c>
      <c r="B49" t="s" s="2">
        <v>99</v>
      </c>
      <c r="C49" t="n" s="5">
        <v>17.9545</v>
      </c>
      <c r="D49" t="n" s="5">
        <v>1.07</v>
      </c>
      <c r="E49" t="n" s="5">
        <v>0.03</v>
      </c>
    </row>
    <row r="50">
      <c r="A50" t="s" s="4">
        <v>100</v>
      </c>
      <c r="B50" t="s" s="4">
        <v>101</v>
      </c>
      <c r="C50" t="n" s="7">
        <v>34.591</v>
      </c>
      <c r="D50" t="n" s="7">
        <v>1.0</v>
      </c>
      <c r="E50" t="n" s="7">
        <v>0.06</v>
      </c>
    </row>
    <row r="51">
      <c r="A51" t="s" s="2">
        <v>102</v>
      </c>
      <c r="B51" t="s" s="2">
        <v>103</v>
      </c>
      <c r="C51" t="n" s="5">
        <v>15.3636</v>
      </c>
      <c r="D51" t="n" s="5">
        <v>1.0</v>
      </c>
      <c r="E51" t="n" s="5">
        <v>0.02</v>
      </c>
    </row>
    <row r="52">
      <c r="A52" t="s" s="4">
        <v>104</v>
      </c>
      <c r="B52" t="s" s="4">
        <v>105</v>
      </c>
      <c r="C52" t="n" s="7">
        <v>5.4545</v>
      </c>
      <c r="D52" t="n" s="7">
        <v>1.0</v>
      </c>
      <c r="E52" t="n" s="7">
        <v>0.01</v>
      </c>
    </row>
    <row r="53">
      <c r="A53" t="s" s="2">
        <v>106</v>
      </c>
      <c r="B53" t="s" s="2">
        <v>107</v>
      </c>
      <c r="C53" t="n" s="5">
        <v>7.5818</v>
      </c>
      <c r="D53" t="n" s="5">
        <v>0.6</v>
      </c>
      <c r="E53" t="n" s="5">
        <v>0.01</v>
      </c>
    </row>
    <row r="54">
      <c r="A54" t="s" s="4">
        <v>108</v>
      </c>
      <c r="B54" t="s" s="4">
        <v>109</v>
      </c>
      <c r="C54" t="n" s="7">
        <v>8.8818</v>
      </c>
      <c r="D54" t="n" s="7">
        <v>0.58</v>
      </c>
      <c r="E54" t="n" s="7">
        <v>0.01</v>
      </c>
    </row>
    <row r="55">
      <c r="A55" t="s" s="2">
        <v>110</v>
      </c>
      <c r="B55" t="s" s="2">
        <v>111</v>
      </c>
      <c r="C55" t="n" s="5">
        <v>19.2637</v>
      </c>
      <c r="D55" t="n" s="5">
        <v>0.45</v>
      </c>
      <c r="E55" t="n" s="5">
        <v>0.03</v>
      </c>
    </row>
    <row r="56">
      <c r="A56" t="s" s="4">
        <v>112</v>
      </c>
      <c r="B56" t="s" s="4">
        <v>113</v>
      </c>
      <c r="C56" t="n" s="7">
        <v>11.0364</v>
      </c>
      <c r="D56" t="n" s="7">
        <v>0.42</v>
      </c>
      <c r="E56" t="n" s="7">
        <v>0.02</v>
      </c>
    </row>
    <row r="57">
      <c r="A57" t="s" s="2">
        <v>114</v>
      </c>
      <c r="B57" t="s" s="2">
        <v>115</v>
      </c>
      <c r="C57" t="n" s="5">
        <v>0.0455</v>
      </c>
      <c r="D57" t="n" s="5">
        <v>0.0</v>
      </c>
      <c r="E57" t="n" s="5">
        <v>0.0</v>
      </c>
    </row>
    <row r="58">
      <c r="A58" t="s" s="4">
        <v>116</v>
      </c>
      <c r="B58" t="s" s="4">
        <v>117</v>
      </c>
      <c r="C58" t="n" s="7">
        <v>0.0</v>
      </c>
      <c r="D58" t="n" s="7">
        <v>0.0</v>
      </c>
      <c r="E58" t="n" s="7">
        <v>0.0</v>
      </c>
    </row>
    <row r="59">
      <c r="A59" t="s" s="2">
        <v>118</v>
      </c>
      <c r="B59" t="s" s="2">
        <v>119</v>
      </c>
      <c r="C59" t="n" s="5">
        <v>0.0</v>
      </c>
      <c r="D59" t="n" s="5">
        <v>0.0</v>
      </c>
      <c r="E59" t="n" s="5">
        <v>0.0</v>
      </c>
    </row>
    <row r="60">
      <c r="A60" t="s" s="1">
        <v>120</v>
      </c>
      <c r="B60" s="4"/>
      <c r="C60" t="n" s="1">
        <v>62159.9285</v>
      </c>
      <c r="D60" t="n" s="1">
        <v>3958.04</v>
      </c>
      <c r="E60" t="n" s="1">
        <v>100.0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cols>
    <col min="1" max="1" width="19.359375" customWidth="true" bestFit="true"/>
  </cols>
  <sheetData>
    <row r="1">
      <c r="A1" t="s" s="1">
        <v>121</v>
      </c>
    </row>
    <row r="2">
      <c r="A2" t="s" s="1">
        <v>0</v>
      </c>
      <c r="B2" t="s" s="1">
        <v>1</v>
      </c>
      <c r="C2" t="s" s="1">
        <v>2</v>
      </c>
      <c r="D2" t="s" s="1">
        <v>3</v>
      </c>
      <c r="E2" t="s" s="1">
        <v>4</v>
      </c>
    </row>
    <row r="3">
      <c r="A3" t="s" s="2">
        <v>5</v>
      </c>
      <c r="B3" t="s" s="2">
        <v>6</v>
      </c>
      <c r="C3" t="n" s="5">
        <v>1116.2729</v>
      </c>
      <c r="D3" t="n" s="5">
        <v>826.0</v>
      </c>
      <c r="E3" t="n" s="5">
        <v>1.8</v>
      </c>
    </row>
    <row r="4">
      <c r="A4" t="s" s="4">
        <v>7</v>
      </c>
      <c r="B4" t="s" s="4">
        <v>8</v>
      </c>
      <c r="C4" t="n" s="7">
        <v>2915.4548</v>
      </c>
      <c r="D4" t="n" s="7">
        <v>643.0</v>
      </c>
      <c r="E4" t="n" s="7">
        <v>4.69</v>
      </c>
    </row>
    <row r="5">
      <c r="A5" t="s" s="2">
        <v>9</v>
      </c>
      <c r="B5" t="s" s="2">
        <v>10</v>
      </c>
      <c r="C5" t="n" s="5">
        <v>1107.2718</v>
      </c>
      <c r="D5" t="n" s="5">
        <v>203.0</v>
      </c>
      <c r="E5" t="n" s="5">
        <v>1.78</v>
      </c>
    </row>
    <row r="6">
      <c r="A6" t="s" s="4">
        <v>11</v>
      </c>
      <c r="B6" t="s" s="4">
        <v>12</v>
      </c>
      <c r="C6" t="n" s="7">
        <v>2464.0914</v>
      </c>
      <c r="D6" t="n" s="7">
        <v>195.0</v>
      </c>
      <c r="E6" t="n" s="7">
        <v>3.96</v>
      </c>
    </row>
    <row r="7">
      <c r="A7" t="s" s="2">
        <v>13</v>
      </c>
      <c r="B7" t="s" s="2">
        <v>14</v>
      </c>
      <c r="C7" t="n" s="5">
        <v>11850.4726</v>
      </c>
      <c r="D7" t="n" s="5">
        <v>194.57</v>
      </c>
      <c r="E7" t="n" s="5">
        <v>19.06</v>
      </c>
    </row>
    <row r="8">
      <c r="A8" t="s" s="1">
        <v>122</v>
      </c>
      <c r="B8" s="4"/>
      <c r="C8" t="n" s="1">
        <v>19453.5635</v>
      </c>
      <c r="D8" t="n" s="1">
        <v>2061.57</v>
      </c>
      <c r="E8" t="n" s="1">
        <v>31.29</v>
      </c>
    </row>
    <row r="9"/>
    <row r="10"/>
    <row r="11"/>
    <row r="12">
      <c r="A12" t="s" s="1">
        <v>123</v>
      </c>
    </row>
    <row r="13">
      <c r="A13" t="s" s="1">
        <v>0</v>
      </c>
      <c r="B13" t="s" s="1">
        <v>1</v>
      </c>
      <c r="C13" t="s" s="1">
        <v>2</v>
      </c>
      <c r="D13" t="s" s="1">
        <v>3</v>
      </c>
      <c r="E13" t="s" s="1">
        <v>4</v>
      </c>
    </row>
    <row r="14">
      <c r="A14" t="s" s="4">
        <v>116</v>
      </c>
      <c r="B14" t="s" s="4">
        <v>117</v>
      </c>
      <c r="C14" t="n" s="7">
        <v>0.0</v>
      </c>
      <c r="D14" t="n" s="7">
        <v>0.0</v>
      </c>
      <c r="E14" t="n" s="7">
        <v>0.0</v>
      </c>
    </row>
    <row r="15">
      <c r="A15" t="s" s="2">
        <v>118</v>
      </c>
      <c r="B15" t="s" s="2">
        <v>119</v>
      </c>
      <c r="C15" t="n" s="5">
        <v>0.0</v>
      </c>
      <c r="D15" t="n" s="5">
        <v>0.0</v>
      </c>
      <c r="E15" t="n" s="5">
        <v>0.0</v>
      </c>
    </row>
    <row r="16">
      <c r="A16" t="s" s="4">
        <v>114</v>
      </c>
      <c r="B16" t="s" s="4">
        <v>115</v>
      </c>
      <c r="C16" t="n" s="7">
        <v>0.0455</v>
      </c>
      <c r="D16" t="n" s="7">
        <v>0.0</v>
      </c>
      <c r="E16" t="n" s="7">
        <v>0.0</v>
      </c>
    </row>
    <row r="17">
      <c r="A17" t="s" s="2">
        <v>112</v>
      </c>
      <c r="B17" t="s" s="2">
        <v>113</v>
      </c>
      <c r="C17" t="n" s="5">
        <v>11.0364</v>
      </c>
      <c r="D17" t="n" s="5">
        <v>0.42</v>
      </c>
      <c r="E17" t="n" s="5">
        <v>0.02</v>
      </c>
    </row>
    <row r="18">
      <c r="A18" t="s" s="4">
        <v>110</v>
      </c>
      <c r="B18" t="s" s="4">
        <v>111</v>
      </c>
      <c r="C18" t="n" s="7">
        <v>19.2637</v>
      </c>
      <c r="D18" t="n" s="7">
        <v>0.45</v>
      </c>
      <c r="E18" t="n" s="7">
        <v>0.03</v>
      </c>
    </row>
    <row r="19">
      <c r="A19" t="s" s="1">
        <v>122</v>
      </c>
      <c r="B19" s="2"/>
      <c r="C19" t="n" s="1">
        <v>30.3456</v>
      </c>
      <c r="D19" t="n" s="1">
        <v>0.87</v>
      </c>
      <c r="E19" t="n" s="1">
        <v>0.05</v>
      </c>
    </row>
  </sheetData>
  <mergeCells count="2">
    <mergeCell ref="A1:E1"/>
    <mergeCell ref="A12:E1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.0"/>
  <cols>
    <col min="1" max="1" width="68.21484375" customWidth="true" bestFit="true"/>
  </cols>
  <sheetData>
    <row r="1">
      <c r="A1" t="s" s="1">
        <v>124</v>
      </c>
    </row>
    <row r="2"/>
    <row r="3">
      <c r="A3" t="s" s="1">
        <v>125</v>
      </c>
      <c r="B3" t="s" s="1">
        <v>126</v>
      </c>
      <c r="C3" t="s" s="1">
        <v>127</v>
      </c>
      <c r="D3" t="s" s="1">
        <v>128</v>
      </c>
      <c r="E3" t="s" s="1">
        <v>129</v>
      </c>
      <c r="F3" t="s" s="1">
        <v>130</v>
      </c>
      <c r="G3" t="s" s="1">
        <v>131</v>
      </c>
      <c r="H3" t="s" s="1">
        <v>132</v>
      </c>
      <c r="I3" t="s" s="1">
        <v>133</v>
      </c>
    </row>
    <row r="4">
      <c r="A4" t="s" s="4">
        <v>134</v>
      </c>
      <c r="B4" t="n" s="7">
        <v>0.0</v>
      </c>
      <c r="C4" t="n" s="7">
        <v>0.0</v>
      </c>
      <c r="D4" t="n" s="7">
        <v>0.0</v>
      </c>
      <c r="E4" t="n" s="7">
        <v>0.0</v>
      </c>
      <c r="F4" t="n" s="7">
        <v>0.0</v>
      </c>
      <c r="G4" t="n" s="7">
        <v>0.0</v>
      </c>
      <c r="H4" t="n" s="7">
        <v>0.0</v>
      </c>
      <c r="I4" s="7" t="n">
        <f>SUM(B4:H4)</f>
        <v>0.0</v>
      </c>
    </row>
    <row r="5">
      <c r="A5" t="s" s="2">
        <v>135</v>
      </c>
      <c r="B5" t="n" s="5">
        <v>0.0</v>
      </c>
      <c r="C5" t="n" s="5">
        <v>0.0</v>
      </c>
      <c r="D5" t="n" s="5">
        <v>0.0</v>
      </c>
      <c r="E5" t="n" s="5">
        <v>0.0</v>
      </c>
      <c r="F5" t="n" s="5">
        <v>0.0</v>
      </c>
      <c r="G5" t="n" s="5">
        <v>0.0</v>
      </c>
      <c r="H5" t="n" s="5">
        <v>0.0</v>
      </c>
      <c r="I5" s="5" t="n">
        <f>SUM(B5:H5)</f>
        <v>0.0</v>
      </c>
    </row>
    <row r="6">
      <c r="A6" t="s" s="4">
        <v>136</v>
      </c>
      <c r="B6" t="n" s="7">
        <v>16.2727</v>
      </c>
      <c r="C6" t="n" s="7">
        <v>20.8182</v>
      </c>
      <c r="D6" t="n" s="7">
        <v>0.0</v>
      </c>
      <c r="E6" t="n" s="7">
        <v>0.0</v>
      </c>
      <c r="F6" t="n" s="7">
        <v>0.0</v>
      </c>
      <c r="G6" t="n" s="7">
        <v>0.0</v>
      </c>
      <c r="H6" t="n" s="7">
        <v>0.0</v>
      </c>
      <c r="I6" s="7" t="n">
        <f>SUM(B6:H6)</f>
        <v>0.0</v>
      </c>
    </row>
    <row r="7">
      <c r="A7" t="s" s="2">
        <v>137</v>
      </c>
      <c r="B7" t="n" s="5">
        <v>17.1819</v>
      </c>
      <c r="C7" t="n" s="5">
        <v>16.2727</v>
      </c>
      <c r="D7" t="n" s="5">
        <v>0.0</v>
      </c>
      <c r="E7" t="n" s="5">
        <v>32.5455</v>
      </c>
      <c r="F7" t="n" s="5">
        <v>0.0</v>
      </c>
      <c r="G7" t="n" s="5">
        <v>18.1818</v>
      </c>
      <c r="H7" t="n" s="5">
        <v>37.1818</v>
      </c>
      <c r="I7" s="5" t="n">
        <f>SUM(B7:H7)</f>
        <v>0.0</v>
      </c>
    </row>
    <row r="8">
      <c r="A8" t="s" s="4">
        <v>138</v>
      </c>
      <c r="B8" t="n" s="7">
        <v>314.0001</v>
      </c>
      <c r="C8" t="n" s="7">
        <v>276.9091</v>
      </c>
      <c r="D8" t="n" s="7">
        <v>410.7455</v>
      </c>
      <c r="E8" t="n" s="7">
        <v>120.5909</v>
      </c>
      <c r="F8" t="n" s="7">
        <v>197.4546</v>
      </c>
      <c r="G8" t="n" s="7">
        <v>387.8818</v>
      </c>
      <c r="H8" t="n" s="7">
        <v>218.2727</v>
      </c>
      <c r="I8" s="7" t="n">
        <f>SUM(B8:H8)</f>
        <v>0.0</v>
      </c>
    </row>
    <row r="9">
      <c r="A9" t="s" s="2">
        <v>139</v>
      </c>
      <c r="B9" t="n" s="5">
        <v>1847.7821</v>
      </c>
      <c r="C9" t="n" s="5">
        <v>1071.191</v>
      </c>
      <c r="D9" t="n" s="5">
        <v>1087.4002</v>
      </c>
      <c r="E9" t="n" s="5">
        <v>958.5819</v>
      </c>
      <c r="F9" t="n" s="5">
        <v>915.691</v>
      </c>
      <c r="G9" t="n" s="5">
        <v>1121.2998</v>
      </c>
      <c r="H9" t="n" s="5">
        <v>1114.4272</v>
      </c>
      <c r="I9" s="5" t="n">
        <f>SUM(B9:H9)</f>
        <v>0.0</v>
      </c>
    </row>
    <row r="10">
      <c r="A10" t="s" s="4">
        <v>140</v>
      </c>
      <c r="B10" t="n" s="7">
        <v>1120.2822</v>
      </c>
      <c r="C10" t="n" s="7">
        <v>768.7545</v>
      </c>
      <c r="D10" t="n" s="7">
        <v>1107.3456</v>
      </c>
      <c r="E10" t="n" s="7">
        <v>1649.3543</v>
      </c>
      <c r="F10" t="n" s="7">
        <v>891.9455</v>
      </c>
      <c r="G10" t="n" s="7">
        <v>1129.6817</v>
      </c>
      <c r="H10" t="n" s="7">
        <v>1016.8999</v>
      </c>
      <c r="I10" s="7" t="n">
        <f>SUM(B10:H10)</f>
        <v>0.0</v>
      </c>
    </row>
    <row r="11">
      <c r="A11" t="s" s="2">
        <v>141</v>
      </c>
      <c r="B11" t="n" s="5">
        <v>1651.4976</v>
      </c>
      <c r="C11" t="n" s="5">
        <v>900.391</v>
      </c>
      <c r="D11" t="n" s="5">
        <v>643.664</v>
      </c>
      <c r="E11" t="n" s="5">
        <v>1461.9183</v>
      </c>
      <c r="F11" t="n" s="5">
        <v>624.8637</v>
      </c>
      <c r="G11" t="n" s="5">
        <v>446.6635</v>
      </c>
      <c r="H11" t="n" s="5">
        <v>1105.191</v>
      </c>
      <c r="I11" s="5" t="n">
        <f>SUM(B11:H11)</f>
        <v>0.0</v>
      </c>
    </row>
    <row r="12">
      <c r="A12" t="s" s="4">
        <v>142</v>
      </c>
      <c r="B12" t="n" s="7">
        <v>536.4967</v>
      </c>
      <c r="C12" t="n" s="7">
        <v>389.4454</v>
      </c>
      <c r="D12" t="n" s="7">
        <v>685.6726</v>
      </c>
      <c r="E12" t="n" s="7">
        <v>942.0455</v>
      </c>
      <c r="F12" t="n" s="7">
        <v>283.0635</v>
      </c>
      <c r="G12" t="n" s="7">
        <v>431.6363</v>
      </c>
      <c r="H12" t="n" s="7">
        <v>822.4363</v>
      </c>
      <c r="I12" s="7" t="n">
        <f>SUM(B12:H12)</f>
        <v>0.0</v>
      </c>
    </row>
    <row r="13">
      <c r="A13" t="s" s="2">
        <v>143</v>
      </c>
      <c r="B13" t="n" s="5">
        <v>266.9091</v>
      </c>
      <c r="C13" t="n" s="5">
        <v>410.4274</v>
      </c>
      <c r="D13" t="n" s="5">
        <v>247.9364</v>
      </c>
      <c r="E13" t="n" s="5">
        <v>424.5275</v>
      </c>
      <c r="F13" t="n" s="5">
        <v>363.1365</v>
      </c>
      <c r="G13" t="n" s="5">
        <v>261.8636</v>
      </c>
      <c r="H13" t="n" s="5">
        <v>215.2818</v>
      </c>
      <c r="I13" s="5" t="n">
        <f>SUM(B13:H13)</f>
        <v>0.0</v>
      </c>
    </row>
    <row r="14">
      <c r="A14" t="s" s="4">
        <v>144</v>
      </c>
      <c r="B14" t="n" s="7">
        <v>436.2726</v>
      </c>
      <c r="C14" t="n" s="7">
        <v>706.7091</v>
      </c>
      <c r="D14" t="n" s="7">
        <v>504.809</v>
      </c>
      <c r="E14" t="n" s="7">
        <v>862.4001</v>
      </c>
      <c r="F14" t="n" s="7">
        <v>314.8637</v>
      </c>
      <c r="G14" t="n" s="7">
        <v>496.3364</v>
      </c>
      <c r="H14" t="n" s="7">
        <v>495.5</v>
      </c>
      <c r="I14" s="7" t="n">
        <f>SUM(B14:H14)</f>
        <v>0.0</v>
      </c>
    </row>
    <row r="15">
      <c r="A15" t="s" s="2">
        <v>145</v>
      </c>
      <c r="B15" t="n" s="5">
        <v>814.0091</v>
      </c>
      <c r="C15" t="n" s="5">
        <v>1168.009</v>
      </c>
      <c r="D15" t="n" s="5">
        <v>636.1455</v>
      </c>
      <c r="E15" t="n" s="5">
        <v>870.2472</v>
      </c>
      <c r="F15" t="n" s="5">
        <v>986.4643</v>
      </c>
      <c r="G15" t="n" s="5">
        <v>1285.0094</v>
      </c>
      <c r="H15" t="n" s="5">
        <v>379.3637</v>
      </c>
      <c r="I15" s="5" t="n">
        <f>SUM(B15:H15)</f>
        <v>0.0</v>
      </c>
    </row>
    <row r="16">
      <c r="A16" t="s" s="4">
        <v>146</v>
      </c>
      <c r="B16" t="n" s="7">
        <v>1577.9546</v>
      </c>
      <c r="C16" t="n" s="7">
        <v>1342.9728</v>
      </c>
      <c r="D16" t="n" s="7">
        <v>723.3183</v>
      </c>
      <c r="E16" t="n" s="7">
        <v>652.6637</v>
      </c>
      <c r="F16" t="n" s="7">
        <v>1675.9098</v>
      </c>
      <c r="G16" t="n" s="7">
        <v>1248.5272</v>
      </c>
      <c r="H16" t="n" s="7">
        <v>947.3182</v>
      </c>
      <c r="I16" s="7" t="n">
        <f>SUM(B16:H16)</f>
        <v>0.0</v>
      </c>
    </row>
    <row r="17">
      <c r="A17" t="s" s="2">
        <v>147</v>
      </c>
      <c r="B17" t="n" s="5">
        <v>1014.991</v>
      </c>
      <c r="C17" t="n" s="5">
        <v>1447.3546</v>
      </c>
      <c r="D17" t="n" s="5">
        <v>927.6</v>
      </c>
      <c r="E17" t="n" s="5">
        <v>1078.8092</v>
      </c>
      <c r="F17" t="n" s="5">
        <v>1336.4277</v>
      </c>
      <c r="G17" t="n" s="5">
        <v>1101.4547</v>
      </c>
      <c r="H17" t="n" s="5">
        <v>587.1818</v>
      </c>
      <c r="I17" s="5" t="n">
        <f>SUM(B17:H17)</f>
        <v>0.0</v>
      </c>
    </row>
    <row r="18">
      <c r="A18" t="s" s="4">
        <v>148</v>
      </c>
      <c r="B18" t="n" s="7">
        <v>151.4545</v>
      </c>
      <c r="C18" t="n" s="7">
        <v>503.4453</v>
      </c>
      <c r="D18" t="n" s="7">
        <v>1495.3275</v>
      </c>
      <c r="E18" t="n" s="7">
        <v>456.3818</v>
      </c>
      <c r="F18" t="n" s="7">
        <v>385.0545</v>
      </c>
      <c r="G18" t="n" s="7">
        <v>504.5182</v>
      </c>
      <c r="H18" t="n" s="7">
        <v>282.7818</v>
      </c>
      <c r="I18" s="7" t="n">
        <f>SUM(B18:H18)</f>
        <v>0.0</v>
      </c>
    </row>
    <row r="19">
      <c r="A19" t="s" s="2">
        <v>149</v>
      </c>
      <c r="B19" t="n" s="5">
        <v>0.0</v>
      </c>
      <c r="C19" t="n" s="5">
        <v>7.6364</v>
      </c>
      <c r="D19" t="n" s="5">
        <v>993.8091</v>
      </c>
      <c r="E19" t="n" s="5">
        <v>208.3727</v>
      </c>
      <c r="F19" t="n" s="5">
        <v>137.9002</v>
      </c>
      <c r="G19" t="n" s="5">
        <v>140.091</v>
      </c>
      <c r="H19" t="n" s="5">
        <v>80.0455</v>
      </c>
      <c r="I19" s="5" t="n">
        <f>SUM(B19:H19)</f>
        <v>0.0</v>
      </c>
    </row>
    <row r="20">
      <c r="A20" t="s" s="4">
        <v>150</v>
      </c>
      <c r="B20" t="n" s="7">
        <v>0.0</v>
      </c>
      <c r="C20" t="n" s="7">
        <v>0.0455</v>
      </c>
      <c r="D20" t="n" s="7">
        <v>194.4279</v>
      </c>
      <c r="E20" t="n" s="7">
        <v>0.0</v>
      </c>
      <c r="F20" t="n" s="7">
        <v>0.0</v>
      </c>
      <c r="G20" t="n" s="7">
        <v>0.0</v>
      </c>
      <c r="H20" t="n" s="7">
        <v>0.0</v>
      </c>
      <c r="I20" s="7" t="n">
        <f>SUM(B20:H20)</f>
        <v>0.0</v>
      </c>
    </row>
    <row r="21">
      <c r="A21" t="s" s="2">
        <v>151</v>
      </c>
      <c r="B21" t="n" s="5">
        <v>0.0</v>
      </c>
      <c r="C21" t="n" s="5">
        <v>0.0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0.0</v>
      </c>
      <c r="I21" s="5" t="n">
        <f>SUM(B21:H21)</f>
        <v>0.0</v>
      </c>
    </row>
    <row r="22">
      <c r="A22" t="s" s="4">
        <v>152</v>
      </c>
      <c r="B22" t="n" s="7">
        <v>0.0</v>
      </c>
      <c r="C22" t="n" s="7">
        <v>0.0</v>
      </c>
      <c r="D22" t="n" s="7">
        <v>0.0</v>
      </c>
      <c r="E22" t="n" s="7">
        <v>0.0</v>
      </c>
      <c r="F22" t="n" s="7">
        <v>0.0</v>
      </c>
      <c r="G22" t="n" s="7">
        <v>0.0</v>
      </c>
      <c r="H22" t="n" s="7">
        <v>0.0</v>
      </c>
      <c r="I22" s="7" t="n">
        <f>SUM(B22:H22)</f>
        <v>0.0</v>
      </c>
    </row>
    <row r="23">
      <c r="A23" t="s" s="2">
        <v>153</v>
      </c>
      <c r="B23" t="n" s="5">
        <v>0.0</v>
      </c>
      <c r="C23" t="n" s="5">
        <v>0.0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0.0</v>
      </c>
      <c r="I23" s="5" t="n">
        <f>SUM(B23:H23)</f>
        <v>0.0</v>
      </c>
    </row>
    <row r="24">
      <c r="A24" t="s" s="1">
        <v>154</v>
      </c>
      <c r="B24" s="7" t="n">
        <f>SUM(B4:B23)</f>
        <v>0.0</v>
      </c>
      <c r="C24" s="7" t="n">
        <f>SUM(C4:C23)</f>
        <v>0.0</v>
      </c>
      <c r="D24" s="7" t="n">
        <f>SUM(D4:D23)</f>
        <v>0.0</v>
      </c>
      <c r="E24" s="7" t="n">
        <f>SUM(E4:E23)</f>
        <v>0.0</v>
      </c>
      <c r="F24" s="7" t="n">
        <f>SUM(F4:F23)</f>
        <v>0.0</v>
      </c>
      <c r="G24" s="7" t="n">
        <f>SUM(G4:G23)</f>
        <v>0.0</v>
      </c>
      <c r="H24" s="7" t="n">
        <f>SUM(H4:H23)</f>
        <v>0.0</v>
      </c>
      <c r="I24" s="7" t="n">
        <f>SUM(B24:H24)</f>
        <v>0.0</v>
      </c>
    </row>
    <row r="25">
      <c r="A25" t="s" s="1">
        <v>155</v>
      </c>
      <c r="B25" t="n" s="1">
        <v>10850.4003</v>
      </c>
      <c r="C25" t="n" s="1">
        <v>11259.3638</v>
      </c>
      <c r="D25" t="n" s="1">
        <v>11289.4546</v>
      </c>
      <c r="E25" t="n" s="1">
        <v>9979.91</v>
      </c>
      <c r="F25" t="n" s="1">
        <v>10185.4182</v>
      </c>
      <c r="G25" t="n" s="1">
        <v>11026.3457</v>
      </c>
      <c r="H25" t="n" s="1">
        <v>10541.6545</v>
      </c>
      <c r="I25" s="5" t="n">
        <f>SUM(B25:H25)</f>
        <v>0.0</v>
      </c>
    </row>
    <row r="26">
      <c r="A26" t="s" s="1">
        <v>156</v>
      </c>
      <c r="B26" s="9" t="n">
        <f>(B24-B25)/B25</f>
        <v>0.0</v>
      </c>
      <c r="C26" s="9" t="n">
        <f>(C24-C25)/C25</f>
        <v>0.0</v>
      </c>
      <c r="D26" s="9" t="n">
        <f>(D24-D25)/D25</f>
        <v>0.0</v>
      </c>
      <c r="E26" s="9" t="n">
        <f>(E24-E25)/E25</f>
        <v>0.0</v>
      </c>
      <c r="F26" s="9" t="n">
        <f>(F24-F25)/F25</f>
        <v>0.0</v>
      </c>
      <c r="G26" s="9" t="n">
        <f>(G24-G25)/G25</f>
        <v>0.0</v>
      </c>
      <c r="H26" s="9" t="n">
        <f>(H24-H25)/H25</f>
        <v>0.0</v>
      </c>
      <c r="I26" s="9" t="n">
        <f>(I24-I25)/I25</f>
        <v>0.0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2026-01-05T05:10:26Z</dcterms:created>
  <dc:creator>Apache POI</dc:creator>
</cp:coreProperties>
</file>